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4400F\Desktop\Veda Technology\Task-15\"/>
    </mc:Choice>
  </mc:AlternateContent>
  <xr:revisionPtr revIDLastSave="0" documentId="8_{C8CA7F1F-DB86-4EDE-9EA8-BA6586437896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ummary Dashboard" sheetId="1" r:id="rId1"/>
    <sheet name="Raw Data" sheetId="2" r:id="rId2"/>
  </sheets>
  <definedNames>
    <definedName name="_xlnm._FilterDatabase" localSheetId="1" hidden="1">'Raw Data'!$A$1:$X$47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B11" i="1"/>
  <c r="B5" i="1"/>
  <c r="B6" i="1"/>
  <c r="B7" i="1"/>
  <c r="B54" i="2"/>
  <c r="B57" i="2"/>
  <c r="B56" i="2"/>
  <c r="B55" i="2"/>
  <c r="B61" i="2" l="1"/>
  <c r="B60" i="2"/>
</calcChain>
</file>

<file path=xl/sharedStrings.xml><?xml version="1.0" encoding="utf-8"?>
<sst xmlns="http://schemas.openxmlformats.org/spreadsheetml/2006/main" count="827" uniqueCount="268">
  <si>
    <t>Product Count Analysis Dashboard</t>
  </si>
  <si>
    <t>Product Count by Category</t>
  </si>
  <si>
    <t>Category</t>
  </si>
  <si>
    <t>Hardcoded Verification</t>
  </si>
  <si>
    <t>Office Supplies</t>
  </si>
  <si>
    <t>Furniture</t>
  </si>
  <si>
    <t>Technology</t>
  </si>
  <si>
    <t>Total</t>
  </si>
  <si>
    <t>Key Insights &amp; Answers:</t>
  </si>
  <si>
    <t>Total Products: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</si>
  <si>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</si>
  <si>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</si>
  <si>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</si>
  <si>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</si>
  <si>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</si>
  <si>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</si>
  <si>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</si>
  <si>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</si>
  <si>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Postal Code</t>
  </si>
  <si>
    <t>City</t>
  </si>
  <si>
    <t>State</t>
  </si>
  <si>
    <t>Country</t>
  </si>
  <si>
    <t>Region</t>
  </si>
  <si>
    <t>Market</t>
  </si>
  <si>
    <t>Product ID</t>
  </si>
  <si>
    <t>Product Name</t>
  </si>
  <si>
    <t>Sub-Category</t>
  </si>
  <si>
    <t>Sales</t>
  </si>
  <si>
    <t>Quantity</t>
  </si>
  <si>
    <t>Discount</t>
  </si>
  <si>
    <t>Profit</t>
  </si>
  <si>
    <t>Shipping Cost</t>
  </si>
  <si>
    <t>Order Priority</t>
  </si>
  <si>
    <t>IN-2017-CA120551-42816</t>
  </si>
  <si>
    <t>2017-03-22</t>
  </si>
  <si>
    <t>2017-03-29</t>
  </si>
  <si>
    <t>Standard Class</t>
  </si>
  <si>
    <t>CA-120551</t>
  </si>
  <si>
    <t>Cathy Armstrong</t>
  </si>
  <si>
    <t>Home Office</t>
  </si>
  <si>
    <t>Herat</t>
  </si>
  <si>
    <t>Hirat</t>
  </si>
  <si>
    <t>Afghanistan</t>
  </si>
  <si>
    <t>Southern Asia</t>
  </si>
  <si>
    <t>Asia Pacific</t>
  </si>
  <si>
    <t>FUR-BO-4861</t>
  </si>
  <si>
    <t>Ikea Library with Doors, Mobile</t>
  </si>
  <si>
    <t>Bookcases</t>
  </si>
  <si>
    <t>Medium</t>
  </si>
  <si>
    <t>ID-2015-BD116051-42248</t>
  </si>
  <si>
    <t>2015-09-01</t>
  </si>
  <si>
    <t>2015-09-04</t>
  </si>
  <si>
    <t>Second Class</t>
  </si>
  <si>
    <t>BD-116051</t>
  </si>
  <si>
    <t>Brian Dahlen</t>
  </si>
  <si>
    <t>Consumer</t>
  </si>
  <si>
    <t>OFF-SU-2988</t>
  </si>
  <si>
    <t>Acme Scissors, Easy Grip</t>
  </si>
  <si>
    <t>Supplies</t>
  </si>
  <si>
    <t>TEC-MA-4211</t>
  </si>
  <si>
    <t>Epson Receipt Printer, White</t>
  </si>
  <si>
    <t>Machines</t>
  </si>
  <si>
    <t>FUR-FU-5726</t>
  </si>
  <si>
    <t>Rubbermaid Door Stop, Erganomic</t>
  </si>
  <si>
    <t>Furnishings</t>
  </si>
  <si>
    <t>OFF-EN-3664</t>
  </si>
  <si>
    <t>Cameo Interoffice Envelope, with clear poly window</t>
  </si>
  <si>
    <t>Envelopes</t>
  </si>
  <si>
    <t>ID-2015-AJ107801-42113</t>
  </si>
  <si>
    <t>2015-04-19</t>
  </si>
  <si>
    <t>2015-04-22</t>
  </si>
  <si>
    <t>First Class</t>
  </si>
  <si>
    <t>AJ-107801</t>
  </si>
  <si>
    <t>Anthony Jacobs</t>
  </si>
  <si>
    <t>Corporate</t>
  </si>
  <si>
    <t>Kabul</t>
  </si>
  <si>
    <t>FUR-TA-3420</t>
  </si>
  <si>
    <t>Bevis Conference Table, Fully Assembled</t>
  </si>
  <si>
    <t>Tables</t>
  </si>
  <si>
    <t>High</t>
  </si>
  <si>
    <t>IN-2017-GM144551-42948</t>
  </si>
  <si>
    <t>2017-08-01</t>
  </si>
  <si>
    <t>2017-08-05</t>
  </si>
  <si>
    <t>GM-144551</t>
  </si>
  <si>
    <t>Gary Mitchum</t>
  </si>
  <si>
    <t>FUR-BO-3626</t>
  </si>
  <si>
    <t>Bush Classic Bookcase, Pine</t>
  </si>
  <si>
    <t>IN-2017-VB217451-43080</t>
  </si>
  <si>
    <t>2017-12-11</t>
  </si>
  <si>
    <t>2017-12-15</t>
  </si>
  <si>
    <t>VB-217451</t>
  </si>
  <si>
    <t>Victoria Brennan</t>
  </si>
  <si>
    <t>FUR-CH-4683</t>
  </si>
  <si>
    <t>Hon Rocking Chair, Red</t>
  </si>
  <si>
    <t>Chairs</t>
  </si>
  <si>
    <t>IN-2016-LO171701-42637</t>
  </si>
  <si>
    <t>2016-09-24</t>
  </si>
  <si>
    <t>2016-09-28</t>
  </si>
  <si>
    <t>LO-171701</t>
  </si>
  <si>
    <t>Lori Olson</t>
  </si>
  <si>
    <t>TEC-PH-5814</t>
  </si>
  <si>
    <t>Samsung Audio Dock, VoIP</t>
  </si>
  <si>
    <t>Phones</t>
  </si>
  <si>
    <t>TEC-PH-3129</t>
  </si>
  <si>
    <t>Apple Audio Dock, VoIP</t>
  </si>
  <si>
    <t>ID-2015-SS201401-42354</t>
  </si>
  <si>
    <t>2015-12-16</t>
  </si>
  <si>
    <t>2015-12-20</t>
  </si>
  <si>
    <t>SS-201401</t>
  </si>
  <si>
    <t>Saphhira Shifley</t>
  </si>
  <si>
    <t>FUR-TA-3780</t>
  </si>
  <si>
    <t>Chromcraft Wood Table, with Bottom Storage</t>
  </si>
  <si>
    <t>IN-2017-AA103751-42926</t>
  </si>
  <si>
    <t>2017-07-10</t>
  </si>
  <si>
    <t>2017-07-15</t>
  </si>
  <si>
    <t>AA-103751</t>
  </si>
  <si>
    <t>Allen Armold</t>
  </si>
  <si>
    <t>OFF-AP-4747</t>
  </si>
  <si>
    <t>Hoover Toaster, Red</t>
  </si>
  <si>
    <t>Appliances</t>
  </si>
  <si>
    <t>IN-2015-BG110351-42275</t>
  </si>
  <si>
    <t>2015-09-28</t>
  </si>
  <si>
    <t>2015-10-04</t>
  </si>
  <si>
    <t>BG-110351</t>
  </si>
  <si>
    <t>Barry Gonzalez</t>
  </si>
  <si>
    <t>TEC-CO-4588</t>
  </si>
  <si>
    <t>Hewlett Personal Copier, High-Speed</t>
  </si>
  <si>
    <t>Copiers</t>
  </si>
  <si>
    <t>Low</t>
  </si>
  <si>
    <t>IN-2016-AH105851-42701</t>
  </si>
  <si>
    <t>2016-11-27</t>
  </si>
  <si>
    <t>2016-12-01</t>
  </si>
  <si>
    <t>AH-105851</t>
  </si>
  <si>
    <t>Angele Hood</t>
  </si>
  <si>
    <t>FUR-CH-4523</t>
  </si>
  <si>
    <t>Harbour Creations Chairmat, Black</t>
  </si>
  <si>
    <t>IN-2016-CS118451-42387</t>
  </si>
  <si>
    <t>2016-01-18</t>
  </si>
  <si>
    <t>2016-01-20</t>
  </si>
  <si>
    <t>CS-118451</t>
  </si>
  <si>
    <t>Cari Sayre</t>
  </si>
  <si>
    <t>OFF-ST-6068</t>
  </si>
  <si>
    <t>Smead Trays, Wire Frame</t>
  </si>
  <si>
    <t>Storage</t>
  </si>
  <si>
    <t>FUR-TA-3758</t>
  </si>
  <si>
    <t>Chromcraft Coffee Table, with Bottom Storage</t>
  </si>
  <si>
    <t>TEC-PH-5251</t>
  </si>
  <si>
    <t>Motorola Headset, Cordless</t>
  </si>
  <si>
    <t>OFF-ST-5708</t>
  </si>
  <si>
    <t>Rogers Shelving, Wire Frame</t>
  </si>
  <si>
    <t>IN-2014-AH105851-41973</t>
  </si>
  <si>
    <t>2014-11-30</t>
  </si>
  <si>
    <t>2014-12-03</t>
  </si>
  <si>
    <t>FUR-FU-5727</t>
  </si>
  <si>
    <t>Rubbermaid Frame, Black</t>
  </si>
  <si>
    <t>Critical</t>
  </si>
  <si>
    <t>IN-2015-DW131951-42160</t>
  </si>
  <si>
    <t>2015-06-05</t>
  </si>
  <si>
    <t>2015-06-10</t>
  </si>
  <si>
    <t>DW-131951</t>
  </si>
  <si>
    <t>David Wiener</t>
  </si>
  <si>
    <t>TEC-PH-5812</t>
  </si>
  <si>
    <t>Samsung Audio Dock, Cordless</t>
  </si>
  <si>
    <t>IN-2014-RS194201-41867</t>
  </si>
  <si>
    <t>2014-08-16</t>
  </si>
  <si>
    <t>2014-08-18</t>
  </si>
  <si>
    <t>RS-194201</t>
  </si>
  <si>
    <t>Ricardo Sperren</t>
  </si>
  <si>
    <t>OFF-PA-5890</t>
  </si>
  <si>
    <t>SanDisk Parchment Paper, 8.5 x 11</t>
  </si>
  <si>
    <t>Paper</t>
  </si>
  <si>
    <t>IN-2017-TS213401-43092</t>
  </si>
  <si>
    <t>2017-12-23</t>
  </si>
  <si>
    <t>2017-12-28</t>
  </si>
  <si>
    <t>TS-213401</t>
  </si>
  <si>
    <t>Toby Swindell</t>
  </si>
  <si>
    <t>TEC-AC-4156</t>
  </si>
  <si>
    <t>Enermax Keyboard, Erganomic</t>
  </si>
  <si>
    <t>Accessories</t>
  </si>
  <si>
    <t>IN-2017-JG151151-43032</t>
  </si>
  <si>
    <t>2017-10-24</t>
  </si>
  <si>
    <t>2017-10-27</t>
  </si>
  <si>
    <t>JG-151151</t>
  </si>
  <si>
    <t>Jack Garza</t>
  </si>
  <si>
    <t>OFF-AR-3457</t>
  </si>
  <si>
    <t>BIC Markers, Easy-Erase</t>
  </si>
  <si>
    <t>Art</t>
  </si>
  <si>
    <t>IN-2016-SU206651-42630</t>
  </si>
  <si>
    <t>2016-09-17</t>
  </si>
  <si>
    <t>2016-09-20</t>
  </si>
  <si>
    <t>SU-206651</t>
  </si>
  <si>
    <t>Stephanie Ulpright</t>
  </si>
  <si>
    <t>TEC-AC-4178</t>
  </si>
  <si>
    <t>Enermax Numeric Keypad, Bluetooth</t>
  </si>
  <si>
    <t>OFF-ST-4028</t>
  </si>
  <si>
    <t>Eldon Box, Blue</t>
  </si>
  <si>
    <t>IN-2014-DL134951-41849</t>
  </si>
  <si>
    <t>2014-07-29</t>
  </si>
  <si>
    <t>2014-08-03</t>
  </si>
  <si>
    <t>DL-134951</t>
  </si>
  <si>
    <t>Dionis Lloyd</t>
  </si>
  <si>
    <t>OFF-AR-3484</t>
  </si>
  <si>
    <t>Binney &amp; Smith Highlighters, Water Color</t>
  </si>
  <si>
    <t>OFF-SU-2966</t>
  </si>
  <si>
    <t>Acme Box Cutter, High Speed</t>
  </si>
  <si>
    <t>IN-2017-EH139451-42980</t>
  </si>
  <si>
    <t>2017-09-02</t>
  </si>
  <si>
    <t>2017-09-06</t>
  </si>
  <si>
    <t>EH-139451</t>
  </si>
  <si>
    <t>Eric Hoffmann</t>
  </si>
  <si>
    <t>TEC-AC-5217</t>
  </si>
  <si>
    <t>Memorex Mouse, Erganomic</t>
  </si>
  <si>
    <t>IN-2014-ED138851-41985</t>
  </si>
  <si>
    <t>2014-12-12</t>
  </si>
  <si>
    <t>2014-12-18</t>
  </si>
  <si>
    <t>ED-138851</t>
  </si>
  <si>
    <t>Emily Ducich</t>
  </si>
  <si>
    <t>OFF-PA-6609</t>
  </si>
  <si>
    <t>Xerox Memo Slips, 8.5 x 11</t>
  </si>
  <si>
    <t>OFF-BI-3256</t>
  </si>
  <si>
    <t>Avery Binding Machine, Durable</t>
  </si>
  <si>
    <t>Binders</t>
  </si>
  <si>
    <t>OFF-SU-2967</t>
  </si>
  <si>
    <t>Acme Box Cutter, Serrated</t>
  </si>
  <si>
    <t>OFF-BI-4807</t>
  </si>
  <si>
    <t>Ibico Binder Covers, Clear</t>
  </si>
  <si>
    <t>IN-2016-JM156551-42636</t>
  </si>
  <si>
    <t>2016-09-23</t>
  </si>
  <si>
    <t>2016-09-27</t>
  </si>
  <si>
    <t>JM-156551</t>
  </si>
  <si>
    <t>Jim Mitchum</t>
  </si>
  <si>
    <t>OFF-BI-6371</t>
  </si>
  <si>
    <t>Wilson Jones 3-Hole Punch, Economy</t>
  </si>
  <si>
    <t>IN-2017-TS212051-42904</t>
  </si>
  <si>
    <t>2017-06-18</t>
  </si>
  <si>
    <t>2017-06-22</t>
  </si>
  <si>
    <t>TS-212051</t>
  </si>
  <si>
    <t>Thomas Seio</t>
  </si>
  <si>
    <t>OFF-EN-5039</t>
  </si>
  <si>
    <t>Kraft Manila Envelope, Set of 50</t>
  </si>
  <si>
    <t>OFF-LA-4529</t>
  </si>
  <si>
    <t>Harbour Creations Color Coded Labels, Laser Printer Compatible</t>
  </si>
  <si>
    <t>Labels</t>
  </si>
  <si>
    <t>OFF-BI-3247</t>
  </si>
  <si>
    <t>Avery Binder Covers, Durable</t>
  </si>
  <si>
    <t>OFF-AR-3494</t>
  </si>
  <si>
    <t>Binney &amp; Smith Pencil Sharpener, Water Color</t>
  </si>
  <si>
    <t>OFF-BI-6376</t>
  </si>
  <si>
    <t>Wilson Jones Binder Covers, Economy</t>
  </si>
  <si>
    <t>FUR-FU-3930</t>
  </si>
  <si>
    <t>Deflect-O Clock, Durable</t>
  </si>
  <si>
    <t>FUR-FU-3941</t>
  </si>
  <si>
    <t>Deflect-O Frame, Duo Pack</t>
  </si>
  <si>
    <t>OFF-FA-5482</t>
  </si>
  <si>
    <t>OIC Staples, Bulk Pack</t>
  </si>
  <si>
    <t>Fasteners</t>
  </si>
  <si>
    <t>OFF-LA-5389</t>
  </si>
  <si>
    <t>Novimex Legal Exhibit Labels, Alphabetical</t>
  </si>
  <si>
    <t>OFF-PA-3995</t>
  </si>
  <si>
    <t>Eaton Memo Slips, Multicolor</t>
  </si>
  <si>
    <t>OFF-FA-5467</t>
  </si>
  <si>
    <t>OIC Paper Clips, 12 Pack</t>
  </si>
  <si>
    <t>Category Summary</t>
  </si>
  <si>
    <t>Product Count</t>
  </si>
  <si>
    <t>Total Products</t>
  </si>
  <si>
    <t>Insights &amp; Analytics</t>
  </si>
  <si>
    <t>Largest Category Name</t>
  </si>
  <si>
    <t>Largest Category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</si>
</sst>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3"/>
      <color rgb="FF1F497D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b/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366092"/>
        <bgColor rgb="FF366092"/>
      </patternFill>
    </fill>
    <fill>
      <patternFill patternType="solid">
        <fgColor theme="0"/>
        <bgColor rgb="FFE2EFDA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000000"/>
      </bottom>
      <diagonal/>
    </border>
    <border>
      <left/>
      <right/>
      <top style="thin">
        <color rgb="FFD9D9D9"/>
      </top>
      <bottom style="double">
        <color rgb="FF1F497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5" fillId="0" borderId="0" xfId="0" applyFont="1"/>
    <xf numFmtId="0" fontId="4" fillId="0" borderId="0" xfId="0" applyFont="1"/>
    <xf numFmtId="0" fontId="3" fillId="3" borderId="0" xfId="0" applyFont="1" applyFill="1"/>
    <xf numFmtId="0" fontId="0" fillId="0" borderId="0" xfId="0"/>
    <xf numFmtId="0" fontId="6" fillId="3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right" vertical="center"/>
    </xf>
    <xf numFmtId="0" fontId="7" fillId="0" borderId="3" xfId="0" applyFont="1" applyBorder="1"/>
    <xf numFmtId="0" fontId="7" fillId="0" borderId="3" xfId="0" applyFont="1" applyBorder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0" fontId="7" fillId="0" borderId="1" xfId="0" applyFont="1" applyBorder="1"/>
    <xf numFmtId="0" fontId="1" fillId="2" borderId="0" xfId="0" applyFont="1" applyFill="1" applyAlignment="1">
      <alignment vertical="center"/>
    </xf>
    <xf numFmtId="0" fontId="0" fillId="0" borderId="0" xfId="0" applyAlignment="1"/>
    <xf numFmtId="0" fontId="9" fillId="4" borderId="1" xfId="0" applyFont="1" applyFill="1" applyBorder="1"/>
    <xf numFmtId="0" fontId="9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3" sqref="B13"/>
    </sheetView>
  </sheetViews>
  <sheetFormatPr defaultRowHeight="15" x14ac:dyDescent="0.25"/>
  <cols>
    <col min="1" max="1" width="35" customWidth="1"/>
    <col min="2" max="2" width="25" customWidth="1"/>
  </cols>
  <sheetData>
    <row r="1" spans="1:2" ht="39.950000000000003" customHeight="1" x14ac:dyDescent="0.25">
      <c r="A1" s="21" t="s">
        <v>0</v>
      </c>
      <c r="B1" s="22"/>
    </row>
    <row r="3" spans="1:2" ht="16.5" x14ac:dyDescent="0.25">
      <c r="A3" s="1" t="s">
        <v>1</v>
      </c>
    </row>
    <row r="4" spans="1:2" ht="24.95" customHeight="1" x14ac:dyDescent="0.25">
      <c r="A4" s="2" t="s">
        <v>2</v>
      </c>
      <c r="B4" s="3" t="s">
        <v>3</v>
      </c>
    </row>
    <row r="5" spans="1:2" x14ac:dyDescent="0.25">
      <c r="A5" s="4" t="s">
        <v>4</v>
      </c>
      <c r="B5">
        <f>COUNTIF('Raw Data'!R$2:R$47, "Office Supplies")</f>
        <v>25</v>
      </c>
    </row>
    <row r="6" spans="1:2" x14ac:dyDescent="0.25">
      <c r="A6" s="4" t="s">
        <v>5</v>
      </c>
      <c r="B6" s="5">
        <f>COUNTIF('Raw Data'!R$2:R$47, "Furniture")</f>
        <v>12</v>
      </c>
    </row>
    <row r="7" spans="1:2" x14ac:dyDescent="0.25">
      <c r="A7" s="4" t="s">
        <v>6</v>
      </c>
      <c r="B7" s="5">
        <f>COUNTIF('Raw Data'!R$2:R$47, "Technology")</f>
        <v>9</v>
      </c>
    </row>
    <row r="8" spans="1:2" ht="15.75" thickBot="1" x14ac:dyDescent="0.3">
      <c r="A8" s="6" t="s">
        <v>7</v>
      </c>
      <c r="B8" s="7">
        <v>46</v>
      </c>
    </row>
    <row r="9" spans="1:2" ht="15.75" thickTop="1" x14ac:dyDescent="0.25"/>
    <row r="10" spans="1:2" x14ac:dyDescent="0.25">
      <c r="A10" s="8" t="s">
        <v>8</v>
      </c>
    </row>
    <row r="11" spans="1:2" x14ac:dyDescent="0.25">
      <c r="A11" s="9" t="s">
        <v>267</v>
      </c>
      <c r="B11" s="4">
        <f>MAX(B5:B7)</f>
        <v>25</v>
      </c>
    </row>
    <row r="12" spans="1:2" x14ac:dyDescent="0.25">
      <c r="A12" s="9" t="s">
        <v>9</v>
      </c>
      <c r="B12">
        <f>SUM(B5:B7)</f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1"/>
  <sheetViews>
    <sheetView tabSelected="1" workbookViewId="0">
      <selection activeCell="R4" sqref="R1:R1048576"/>
    </sheetView>
  </sheetViews>
  <sheetFormatPr defaultRowHeight="15" x14ac:dyDescent="0.25"/>
  <cols>
    <col min="1" max="1" width="25.28515625" bestFit="1" customWidth="1"/>
    <col min="2" max="2" width="25" customWidth="1"/>
    <col min="3" max="4" width="13" customWidth="1"/>
    <col min="5" max="5" width="17" customWidth="1"/>
    <col min="6" max="6" width="14" customWidth="1"/>
    <col min="7" max="7" width="21" customWidth="1"/>
    <col min="8" max="9" width="14" customWidth="1"/>
    <col min="10" max="11" width="12" customWidth="1"/>
    <col min="12" max="12" width="14" customWidth="1"/>
    <col min="13" max="13" width="16" customWidth="1"/>
    <col min="14" max="14" width="15" customWidth="1"/>
    <col min="15" max="15" width="14" customWidth="1"/>
    <col min="16" max="16" width="65" customWidth="1"/>
    <col min="17" max="17" width="15" customWidth="1"/>
    <col min="18" max="18" width="18" customWidth="1"/>
    <col min="19" max="22" width="12" customWidth="1"/>
    <col min="23" max="23" width="16" customWidth="1"/>
    <col min="24" max="24" width="17" customWidth="1"/>
  </cols>
  <sheetData>
    <row r="1" spans="1:24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0" t="s">
        <v>22</v>
      </c>
      <c r="N1" s="10" t="s">
        <v>23</v>
      </c>
      <c r="O1" s="10" t="s">
        <v>24</v>
      </c>
      <c r="P1" s="10" t="s">
        <v>25</v>
      </c>
      <c r="Q1" s="10" t="s">
        <v>26</v>
      </c>
      <c r="R1" s="10" t="s">
        <v>2</v>
      </c>
      <c r="S1" s="10" t="s">
        <v>27</v>
      </c>
      <c r="T1" s="10" t="s">
        <v>28</v>
      </c>
      <c r="U1" s="10" t="s">
        <v>29</v>
      </c>
      <c r="V1" s="10" t="s">
        <v>30</v>
      </c>
      <c r="W1" s="10" t="s">
        <v>31</v>
      </c>
      <c r="X1" s="10" t="s">
        <v>32</v>
      </c>
    </row>
    <row r="2" spans="1:24" x14ac:dyDescent="0.25">
      <c r="A2" s="9">
        <v>24599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/>
      <c r="J2" s="9" t="s">
        <v>40</v>
      </c>
      <c r="K2" s="9" t="s">
        <v>41</v>
      </c>
      <c r="L2" s="9" t="s">
        <v>42</v>
      </c>
      <c r="M2" s="9" t="s">
        <v>43</v>
      </c>
      <c r="N2" s="9" t="s">
        <v>44</v>
      </c>
      <c r="O2" s="9" t="s">
        <v>45</v>
      </c>
      <c r="P2" s="9" t="s">
        <v>46</v>
      </c>
      <c r="Q2" s="9" t="s">
        <v>47</v>
      </c>
      <c r="R2" s="9" t="s">
        <v>5</v>
      </c>
      <c r="S2" s="9">
        <v>731.82</v>
      </c>
      <c r="T2" s="9">
        <v>2</v>
      </c>
      <c r="U2" s="9">
        <v>0</v>
      </c>
      <c r="V2" s="9">
        <v>102.42</v>
      </c>
      <c r="W2" s="9">
        <v>39.659999999999997</v>
      </c>
      <c r="X2" s="9" t="s">
        <v>48</v>
      </c>
    </row>
    <row r="3" spans="1:24" x14ac:dyDescent="0.25">
      <c r="A3" s="9">
        <v>29465</v>
      </c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  <c r="G3" s="9" t="s">
        <v>54</v>
      </c>
      <c r="H3" s="9" t="s">
        <v>55</v>
      </c>
      <c r="I3" s="9"/>
      <c r="J3" s="9" t="s">
        <v>40</v>
      </c>
      <c r="K3" s="9" t="s">
        <v>41</v>
      </c>
      <c r="L3" s="9" t="s">
        <v>42</v>
      </c>
      <c r="M3" s="9" t="s">
        <v>43</v>
      </c>
      <c r="N3" s="9" t="s">
        <v>44</v>
      </c>
      <c r="O3" s="9" t="s">
        <v>56</v>
      </c>
      <c r="P3" s="9" t="s">
        <v>57</v>
      </c>
      <c r="Q3" s="9" t="s">
        <v>58</v>
      </c>
      <c r="R3" s="9" t="s">
        <v>4</v>
      </c>
      <c r="S3" s="9">
        <v>243.54</v>
      </c>
      <c r="T3" s="9">
        <v>9</v>
      </c>
      <c r="U3" s="9">
        <v>0</v>
      </c>
      <c r="V3" s="9">
        <v>104.49</v>
      </c>
      <c r="W3" s="9">
        <v>18.72</v>
      </c>
      <c r="X3" s="9" t="s">
        <v>48</v>
      </c>
    </row>
    <row r="4" spans="1:24" x14ac:dyDescent="0.25">
      <c r="A4" s="9">
        <v>24598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/>
      <c r="J4" s="9" t="s">
        <v>40</v>
      </c>
      <c r="K4" s="9" t="s">
        <v>41</v>
      </c>
      <c r="L4" s="9" t="s">
        <v>42</v>
      </c>
      <c r="M4" s="9" t="s">
        <v>43</v>
      </c>
      <c r="N4" s="9" t="s">
        <v>44</v>
      </c>
      <c r="O4" s="9" t="s">
        <v>59</v>
      </c>
      <c r="P4" s="9" t="s">
        <v>60</v>
      </c>
      <c r="Q4" s="9" t="s">
        <v>61</v>
      </c>
      <c r="R4" s="9" t="s">
        <v>6</v>
      </c>
      <c r="S4" s="9">
        <v>346.32</v>
      </c>
      <c r="T4" s="9">
        <v>3</v>
      </c>
      <c r="U4" s="9">
        <v>0</v>
      </c>
      <c r="V4" s="9">
        <v>13.77</v>
      </c>
      <c r="W4" s="9">
        <v>14.1</v>
      </c>
      <c r="X4" s="9" t="s">
        <v>48</v>
      </c>
    </row>
    <row r="5" spans="1:24" x14ac:dyDescent="0.25">
      <c r="A5" s="9">
        <v>24597</v>
      </c>
      <c r="B5" s="9" t="s">
        <v>33</v>
      </c>
      <c r="C5" s="9" t="s">
        <v>34</v>
      </c>
      <c r="D5" s="9" t="s">
        <v>35</v>
      </c>
      <c r="E5" s="9" t="s">
        <v>36</v>
      </c>
      <c r="F5" s="9" t="s">
        <v>37</v>
      </c>
      <c r="G5" s="9" t="s">
        <v>38</v>
      </c>
      <c r="H5" s="9" t="s">
        <v>39</v>
      </c>
      <c r="I5" s="9"/>
      <c r="J5" s="9" t="s">
        <v>40</v>
      </c>
      <c r="K5" s="9" t="s">
        <v>41</v>
      </c>
      <c r="L5" s="9" t="s">
        <v>42</v>
      </c>
      <c r="M5" s="9" t="s">
        <v>43</v>
      </c>
      <c r="N5" s="9" t="s">
        <v>44</v>
      </c>
      <c r="O5" s="9" t="s">
        <v>62</v>
      </c>
      <c r="P5" s="9" t="s">
        <v>63</v>
      </c>
      <c r="Q5" s="9" t="s">
        <v>64</v>
      </c>
      <c r="R5" s="9" t="s">
        <v>5</v>
      </c>
      <c r="S5" s="9">
        <v>169.68</v>
      </c>
      <c r="T5" s="9">
        <v>4</v>
      </c>
      <c r="U5" s="9">
        <v>0</v>
      </c>
      <c r="V5" s="9">
        <v>79.680000000000007</v>
      </c>
      <c r="W5" s="9">
        <v>11.01</v>
      </c>
      <c r="X5" s="9" t="s">
        <v>48</v>
      </c>
    </row>
    <row r="6" spans="1:24" x14ac:dyDescent="0.25">
      <c r="A6" s="9">
        <v>29464</v>
      </c>
      <c r="B6" s="9" t="s">
        <v>49</v>
      </c>
      <c r="C6" s="9" t="s">
        <v>50</v>
      </c>
      <c r="D6" s="9" t="s">
        <v>51</v>
      </c>
      <c r="E6" s="9" t="s">
        <v>52</v>
      </c>
      <c r="F6" s="9" t="s">
        <v>53</v>
      </c>
      <c r="G6" s="9" t="s">
        <v>54</v>
      </c>
      <c r="H6" s="9" t="s">
        <v>55</v>
      </c>
      <c r="I6" s="9"/>
      <c r="J6" s="9" t="s">
        <v>40</v>
      </c>
      <c r="K6" s="9" t="s">
        <v>41</v>
      </c>
      <c r="L6" s="9" t="s">
        <v>42</v>
      </c>
      <c r="M6" s="9" t="s">
        <v>43</v>
      </c>
      <c r="N6" s="9" t="s">
        <v>44</v>
      </c>
      <c r="O6" s="9" t="s">
        <v>65</v>
      </c>
      <c r="P6" s="9" t="s">
        <v>66</v>
      </c>
      <c r="Q6" s="9" t="s">
        <v>67</v>
      </c>
      <c r="R6" s="9" t="s">
        <v>4</v>
      </c>
      <c r="S6" s="9">
        <v>203.88</v>
      </c>
      <c r="T6" s="9">
        <v>4</v>
      </c>
      <c r="U6" s="9">
        <v>0</v>
      </c>
      <c r="V6" s="9">
        <v>24.36</v>
      </c>
      <c r="W6" s="9">
        <v>5.72</v>
      </c>
      <c r="X6" s="9" t="s">
        <v>48</v>
      </c>
    </row>
    <row r="7" spans="1:24" x14ac:dyDescent="0.25">
      <c r="A7" s="9">
        <v>28879</v>
      </c>
      <c r="B7" s="9" t="s">
        <v>68</v>
      </c>
      <c r="C7" s="9" t="s">
        <v>69</v>
      </c>
      <c r="D7" s="9" t="s">
        <v>70</v>
      </c>
      <c r="E7" s="9" t="s">
        <v>71</v>
      </c>
      <c r="F7" s="9" t="s">
        <v>72</v>
      </c>
      <c r="G7" s="9" t="s">
        <v>73</v>
      </c>
      <c r="H7" s="9" t="s">
        <v>74</v>
      </c>
      <c r="I7" s="9"/>
      <c r="J7" s="9" t="s">
        <v>75</v>
      </c>
      <c r="K7" s="9" t="s">
        <v>75</v>
      </c>
      <c r="L7" s="9" t="s">
        <v>42</v>
      </c>
      <c r="M7" s="9" t="s">
        <v>43</v>
      </c>
      <c r="N7" s="9" t="s">
        <v>44</v>
      </c>
      <c r="O7" s="9" t="s">
        <v>76</v>
      </c>
      <c r="P7" s="9" t="s">
        <v>77</v>
      </c>
      <c r="Q7" s="9" t="s">
        <v>78</v>
      </c>
      <c r="R7" s="9" t="s">
        <v>5</v>
      </c>
      <c r="S7" s="9">
        <v>4626.1499999999996</v>
      </c>
      <c r="T7" s="9">
        <v>5</v>
      </c>
      <c r="U7" s="9">
        <v>0</v>
      </c>
      <c r="V7" s="9">
        <v>647.54999999999995</v>
      </c>
      <c r="W7" s="9">
        <v>835.57</v>
      </c>
      <c r="X7" s="9" t="s">
        <v>79</v>
      </c>
    </row>
    <row r="8" spans="1:24" x14ac:dyDescent="0.25">
      <c r="A8" s="9">
        <v>27993</v>
      </c>
      <c r="B8" s="9" t="s">
        <v>80</v>
      </c>
      <c r="C8" s="9" t="s">
        <v>81</v>
      </c>
      <c r="D8" s="9" t="s">
        <v>82</v>
      </c>
      <c r="E8" s="9" t="s">
        <v>36</v>
      </c>
      <c r="F8" s="9" t="s">
        <v>83</v>
      </c>
      <c r="G8" s="9" t="s">
        <v>84</v>
      </c>
      <c r="H8" s="9" t="s">
        <v>39</v>
      </c>
      <c r="I8" s="9"/>
      <c r="J8" s="9" t="s">
        <v>75</v>
      </c>
      <c r="K8" s="9" t="s">
        <v>75</v>
      </c>
      <c r="L8" s="9" t="s">
        <v>42</v>
      </c>
      <c r="M8" s="9" t="s">
        <v>43</v>
      </c>
      <c r="N8" s="9" t="s">
        <v>44</v>
      </c>
      <c r="O8" s="9" t="s">
        <v>85</v>
      </c>
      <c r="P8" s="9" t="s">
        <v>86</v>
      </c>
      <c r="Q8" s="9" t="s">
        <v>47</v>
      </c>
      <c r="R8" s="9" t="s">
        <v>5</v>
      </c>
      <c r="S8" s="9">
        <v>2070.15</v>
      </c>
      <c r="T8" s="9">
        <v>5</v>
      </c>
      <c r="U8" s="9">
        <v>0</v>
      </c>
      <c r="V8" s="9">
        <v>848.7</v>
      </c>
      <c r="W8" s="9">
        <v>185.01</v>
      </c>
      <c r="X8" s="9" t="s">
        <v>48</v>
      </c>
    </row>
    <row r="9" spans="1:24" x14ac:dyDescent="0.25">
      <c r="A9" s="9">
        <v>28967</v>
      </c>
      <c r="B9" s="9" t="s">
        <v>87</v>
      </c>
      <c r="C9" s="9" t="s">
        <v>88</v>
      </c>
      <c r="D9" s="9" t="s">
        <v>89</v>
      </c>
      <c r="E9" s="9" t="s">
        <v>36</v>
      </c>
      <c r="F9" s="9" t="s">
        <v>90</v>
      </c>
      <c r="G9" s="9" t="s">
        <v>91</v>
      </c>
      <c r="H9" s="9" t="s">
        <v>74</v>
      </c>
      <c r="I9" s="9"/>
      <c r="J9" s="9" t="s">
        <v>75</v>
      </c>
      <c r="K9" s="9" t="s">
        <v>75</v>
      </c>
      <c r="L9" s="9" t="s">
        <v>42</v>
      </c>
      <c r="M9" s="9" t="s">
        <v>43</v>
      </c>
      <c r="N9" s="9" t="s">
        <v>44</v>
      </c>
      <c r="O9" s="9" t="s">
        <v>92</v>
      </c>
      <c r="P9" s="9" t="s">
        <v>93</v>
      </c>
      <c r="Q9" s="9" t="s">
        <v>94</v>
      </c>
      <c r="R9" s="9" t="s">
        <v>5</v>
      </c>
      <c r="S9" s="9">
        <v>914.34</v>
      </c>
      <c r="T9" s="9">
        <v>7</v>
      </c>
      <c r="U9" s="9">
        <v>0</v>
      </c>
      <c r="V9" s="9">
        <v>356.58</v>
      </c>
      <c r="W9" s="9">
        <v>106.41</v>
      </c>
      <c r="X9" s="9" t="s">
        <v>79</v>
      </c>
    </row>
    <row r="10" spans="1:24" x14ac:dyDescent="0.25">
      <c r="A10" s="9">
        <v>29492</v>
      </c>
      <c r="B10" s="9" t="s">
        <v>95</v>
      </c>
      <c r="C10" s="9" t="s">
        <v>96</v>
      </c>
      <c r="D10" s="9" t="s">
        <v>97</v>
      </c>
      <c r="E10" s="9" t="s">
        <v>36</v>
      </c>
      <c r="F10" s="9" t="s">
        <v>98</v>
      </c>
      <c r="G10" s="9" t="s">
        <v>99</v>
      </c>
      <c r="H10" s="9" t="s">
        <v>74</v>
      </c>
      <c r="I10" s="9"/>
      <c r="J10" s="9" t="s">
        <v>75</v>
      </c>
      <c r="K10" s="9" t="s">
        <v>75</v>
      </c>
      <c r="L10" s="9" t="s">
        <v>42</v>
      </c>
      <c r="M10" s="9" t="s">
        <v>43</v>
      </c>
      <c r="N10" s="9" t="s">
        <v>44</v>
      </c>
      <c r="O10" s="9" t="s">
        <v>100</v>
      </c>
      <c r="P10" s="9" t="s">
        <v>101</v>
      </c>
      <c r="Q10" s="9" t="s">
        <v>102</v>
      </c>
      <c r="R10" s="9" t="s">
        <v>6</v>
      </c>
      <c r="S10" s="9">
        <v>1168.44</v>
      </c>
      <c r="T10" s="9">
        <v>7</v>
      </c>
      <c r="U10" s="9">
        <v>0</v>
      </c>
      <c r="V10" s="9">
        <v>443.94</v>
      </c>
      <c r="W10" s="9">
        <v>92.34</v>
      </c>
      <c r="X10" s="9" t="s">
        <v>48</v>
      </c>
    </row>
    <row r="11" spans="1:24" x14ac:dyDescent="0.25">
      <c r="A11" s="9">
        <v>28966</v>
      </c>
      <c r="B11" s="9" t="s">
        <v>87</v>
      </c>
      <c r="C11" s="9" t="s">
        <v>88</v>
      </c>
      <c r="D11" s="9" t="s">
        <v>89</v>
      </c>
      <c r="E11" s="9" t="s">
        <v>36</v>
      </c>
      <c r="F11" s="9" t="s">
        <v>90</v>
      </c>
      <c r="G11" s="9" t="s">
        <v>91</v>
      </c>
      <c r="H11" s="9" t="s">
        <v>74</v>
      </c>
      <c r="I11" s="9"/>
      <c r="J11" s="9" t="s">
        <v>75</v>
      </c>
      <c r="K11" s="9" t="s">
        <v>75</v>
      </c>
      <c r="L11" s="9" t="s">
        <v>42</v>
      </c>
      <c r="M11" s="9" t="s">
        <v>43</v>
      </c>
      <c r="N11" s="9" t="s">
        <v>44</v>
      </c>
      <c r="O11" s="9" t="s">
        <v>103</v>
      </c>
      <c r="P11" s="9" t="s">
        <v>104</v>
      </c>
      <c r="Q11" s="9" t="s">
        <v>102</v>
      </c>
      <c r="R11" s="9" t="s">
        <v>6</v>
      </c>
      <c r="S11" s="9">
        <v>500.94</v>
      </c>
      <c r="T11" s="9">
        <v>3</v>
      </c>
      <c r="U11" s="9">
        <v>0</v>
      </c>
      <c r="V11" s="9">
        <v>115.2</v>
      </c>
      <c r="W11" s="9">
        <v>79.59</v>
      </c>
      <c r="X11" s="9" t="s">
        <v>79</v>
      </c>
    </row>
    <row r="12" spans="1:24" x14ac:dyDescent="0.25">
      <c r="A12" s="9">
        <v>25232</v>
      </c>
      <c r="B12" s="9" t="s">
        <v>105</v>
      </c>
      <c r="C12" s="9" t="s">
        <v>106</v>
      </c>
      <c r="D12" s="9" t="s">
        <v>107</v>
      </c>
      <c r="E12" s="9" t="s">
        <v>36</v>
      </c>
      <c r="F12" s="9" t="s">
        <v>108</v>
      </c>
      <c r="G12" s="9" t="s">
        <v>109</v>
      </c>
      <c r="H12" s="9" t="s">
        <v>74</v>
      </c>
      <c r="I12" s="9"/>
      <c r="J12" s="9" t="s">
        <v>75</v>
      </c>
      <c r="K12" s="9" t="s">
        <v>75</v>
      </c>
      <c r="L12" s="9" t="s">
        <v>42</v>
      </c>
      <c r="M12" s="9" t="s">
        <v>43</v>
      </c>
      <c r="N12" s="9" t="s">
        <v>44</v>
      </c>
      <c r="O12" s="9" t="s">
        <v>110</v>
      </c>
      <c r="P12" s="9" t="s">
        <v>111</v>
      </c>
      <c r="Q12" s="9" t="s">
        <v>78</v>
      </c>
      <c r="R12" s="9" t="s">
        <v>5</v>
      </c>
      <c r="S12" s="9">
        <v>1447.56</v>
      </c>
      <c r="T12" s="9">
        <v>3</v>
      </c>
      <c r="U12" s="9">
        <v>0</v>
      </c>
      <c r="V12" s="9">
        <v>564.48</v>
      </c>
      <c r="W12" s="9">
        <v>73.63</v>
      </c>
      <c r="X12" s="9" t="s">
        <v>48</v>
      </c>
    </row>
    <row r="13" spans="1:24" x14ac:dyDescent="0.25">
      <c r="A13" s="9">
        <v>23222</v>
      </c>
      <c r="B13" s="9" t="s">
        <v>112</v>
      </c>
      <c r="C13" s="9" t="s">
        <v>113</v>
      </c>
      <c r="D13" s="9" t="s">
        <v>114</v>
      </c>
      <c r="E13" s="9" t="s">
        <v>52</v>
      </c>
      <c r="F13" s="9" t="s">
        <v>115</v>
      </c>
      <c r="G13" s="9" t="s">
        <v>116</v>
      </c>
      <c r="H13" s="9" t="s">
        <v>55</v>
      </c>
      <c r="I13" s="9"/>
      <c r="J13" s="9" t="s">
        <v>75</v>
      </c>
      <c r="K13" s="9" t="s">
        <v>75</v>
      </c>
      <c r="L13" s="9" t="s">
        <v>42</v>
      </c>
      <c r="M13" s="9" t="s">
        <v>43</v>
      </c>
      <c r="N13" s="9" t="s">
        <v>44</v>
      </c>
      <c r="O13" s="9" t="s">
        <v>117</v>
      </c>
      <c r="P13" s="9" t="s">
        <v>118</v>
      </c>
      <c r="Q13" s="9" t="s">
        <v>119</v>
      </c>
      <c r="R13" s="9" t="s">
        <v>4</v>
      </c>
      <c r="S13" s="9">
        <v>669.12</v>
      </c>
      <c r="T13" s="9">
        <v>8</v>
      </c>
      <c r="U13" s="9">
        <v>0</v>
      </c>
      <c r="V13" s="9">
        <v>280.8</v>
      </c>
      <c r="W13" s="9">
        <v>72.67</v>
      </c>
      <c r="X13" s="9" t="s">
        <v>79</v>
      </c>
    </row>
    <row r="14" spans="1:24" x14ac:dyDescent="0.25">
      <c r="A14" s="9">
        <v>29094</v>
      </c>
      <c r="B14" s="9" t="s">
        <v>120</v>
      </c>
      <c r="C14" s="9" t="s">
        <v>121</v>
      </c>
      <c r="D14" s="9" t="s">
        <v>122</v>
      </c>
      <c r="E14" s="9" t="s">
        <v>36</v>
      </c>
      <c r="F14" s="9" t="s">
        <v>123</v>
      </c>
      <c r="G14" s="9" t="s">
        <v>124</v>
      </c>
      <c r="H14" s="9" t="s">
        <v>55</v>
      </c>
      <c r="I14" s="9"/>
      <c r="J14" s="9" t="s">
        <v>75</v>
      </c>
      <c r="K14" s="9" t="s">
        <v>75</v>
      </c>
      <c r="L14" s="9" t="s">
        <v>42</v>
      </c>
      <c r="M14" s="9" t="s">
        <v>43</v>
      </c>
      <c r="N14" s="9" t="s">
        <v>44</v>
      </c>
      <c r="O14" s="9" t="s">
        <v>125</v>
      </c>
      <c r="P14" s="9" t="s">
        <v>126</v>
      </c>
      <c r="Q14" s="9" t="s">
        <v>127</v>
      </c>
      <c r="R14" s="9" t="s">
        <v>6</v>
      </c>
      <c r="S14" s="9">
        <v>427.41</v>
      </c>
      <c r="T14" s="9">
        <v>3</v>
      </c>
      <c r="U14" s="9">
        <v>0</v>
      </c>
      <c r="V14" s="9">
        <v>4.2300000000000004</v>
      </c>
      <c r="W14" s="9">
        <v>60.91</v>
      </c>
      <c r="X14" s="9" t="s">
        <v>128</v>
      </c>
    </row>
    <row r="15" spans="1:24" x14ac:dyDescent="0.25">
      <c r="A15" s="9">
        <v>28265</v>
      </c>
      <c r="B15" s="9" t="s">
        <v>129</v>
      </c>
      <c r="C15" s="9" t="s">
        <v>130</v>
      </c>
      <c r="D15" s="9" t="s">
        <v>131</v>
      </c>
      <c r="E15" s="9" t="s">
        <v>36</v>
      </c>
      <c r="F15" s="9" t="s">
        <v>132</v>
      </c>
      <c r="G15" s="9" t="s">
        <v>133</v>
      </c>
      <c r="H15" s="9" t="s">
        <v>55</v>
      </c>
      <c r="I15" s="9"/>
      <c r="J15" s="9" t="s">
        <v>75</v>
      </c>
      <c r="K15" s="9" t="s">
        <v>75</v>
      </c>
      <c r="L15" s="9" t="s">
        <v>42</v>
      </c>
      <c r="M15" s="9" t="s">
        <v>43</v>
      </c>
      <c r="N15" s="9" t="s">
        <v>44</v>
      </c>
      <c r="O15" s="9" t="s">
        <v>134</v>
      </c>
      <c r="P15" s="9" t="s">
        <v>135</v>
      </c>
      <c r="Q15" s="9" t="s">
        <v>94</v>
      </c>
      <c r="R15" s="9" t="s">
        <v>5</v>
      </c>
      <c r="S15" s="9">
        <v>417.42</v>
      </c>
      <c r="T15" s="9">
        <v>6</v>
      </c>
      <c r="U15" s="9">
        <v>0</v>
      </c>
      <c r="V15" s="9">
        <v>45.9</v>
      </c>
      <c r="W15" s="9">
        <v>58.04</v>
      </c>
      <c r="X15" s="9" t="s">
        <v>79</v>
      </c>
    </row>
    <row r="16" spans="1:24" x14ac:dyDescent="0.25">
      <c r="A16" s="9">
        <v>27278</v>
      </c>
      <c r="B16" s="9" t="s">
        <v>136</v>
      </c>
      <c r="C16" s="9" t="s">
        <v>137</v>
      </c>
      <c r="D16" s="9" t="s">
        <v>138</v>
      </c>
      <c r="E16" s="9" t="s">
        <v>71</v>
      </c>
      <c r="F16" s="9" t="s">
        <v>139</v>
      </c>
      <c r="G16" s="9" t="s">
        <v>140</v>
      </c>
      <c r="H16" s="9" t="s">
        <v>74</v>
      </c>
      <c r="I16" s="9"/>
      <c r="J16" s="9" t="s">
        <v>75</v>
      </c>
      <c r="K16" s="9" t="s">
        <v>75</v>
      </c>
      <c r="L16" s="9" t="s">
        <v>42</v>
      </c>
      <c r="M16" s="9" t="s">
        <v>43</v>
      </c>
      <c r="N16" s="9" t="s">
        <v>44</v>
      </c>
      <c r="O16" s="9" t="s">
        <v>141</v>
      </c>
      <c r="P16" s="9" t="s">
        <v>142</v>
      </c>
      <c r="Q16" s="9" t="s">
        <v>143</v>
      </c>
      <c r="R16" s="9" t="s">
        <v>4</v>
      </c>
      <c r="S16" s="9">
        <v>332.85</v>
      </c>
      <c r="T16" s="9">
        <v>7</v>
      </c>
      <c r="U16" s="9">
        <v>0</v>
      </c>
      <c r="V16" s="9">
        <v>59.85</v>
      </c>
      <c r="W16" s="9">
        <v>53.01</v>
      </c>
      <c r="X16" s="9" t="s">
        <v>79</v>
      </c>
    </row>
    <row r="17" spans="1:24" x14ac:dyDescent="0.25">
      <c r="A17" s="9">
        <v>27279</v>
      </c>
      <c r="B17" s="9" t="s">
        <v>136</v>
      </c>
      <c r="C17" s="9" t="s">
        <v>137</v>
      </c>
      <c r="D17" s="9" t="s">
        <v>138</v>
      </c>
      <c r="E17" s="9" t="s">
        <v>71</v>
      </c>
      <c r="F17" s="9" t="s">
        <v>139</v>
      </c>
      <c r="G17" s="9" t="s">
        <v>140</v>
      </c>
      <c r="H17" s="9" t="s">
        <v>74</v>
      </c>
      <c r="I17" s="9"/>
      <c r="J17" s="9" t="s">
        <v>75</v>
      </c>
      <c r="K17" s="9" t="s">
        <v>75</v>
      </c>
      <c r="L17" s="9" t="s">
        <v>42</v>
      </c>
      <c r="M17" s="9" t="s">
        <v>43</v>
      </c>
      <c r="N17" s="9" t="s">
        <v>44</v>
      </c>
      <c r="O17" s="9" t="s">
        <v>144</v>
      </c>
      <c r="P17" s="9" t="s">
        <v>145</v>
      </c>
      <c r="Q17" s="9" t="s">
        <v>78</v>
      </c>
      <c r="R17" s="9" t="s">
        <v>5</v>
      </c>
      <c r="S17" s="9">
        <v>267.08999999999997</v>
      </c>
      <c r="T17" s="9">
        <v>1</v>
      </c>
      <c r="U17" s="9">
        <v>0</v>
      </c>
      <c r="V17" s="9">
        <v>34.71</v>
      </c>
      <c r="W17" s="9">
        <v>50.01</v>
      </c>
      <c r="X17" s="9" t="s">
        <v>79</v>
      </c>
    </row>
    <row r="18" spans="1:24" x14ac:dyDescent="0.25">
      <c r="A18" s="9">
        <v>29096</v>
      </c>
      <c r="B18" s="9" t="s">
        <v>120</v>
      </c>
      <c r="C18" s="9" t="s">
        <v>121</v>
      </c>
      <c r="D18" s="9" t="s">
        <v>122</v>
      </c>
      <c r="E18" s="9" t="s">
        <v>36</v>
      </c>
      <c r="F18" s="9" t="s">
        <v>123</v>
      </c>
      <c r="G18" s="9" t="s">
        <v>124</v>
      </c>
      <c r="H18" s="9" t="s">
        <v>55</v>
      </c>
      <c r="I18" s="9"/>
      <c r="J18" s="9" t="s">
        <v>75</v>
      </c>
      <c r="K18" s="9" t="s">
        <v>75</v>
      </c>
      <c r="L18" s="9" t="s">
        <v>42</v>
      </c>
      <c r="M18" s="9" t="s">
        <v>43</v>
      </c>
      <c r="N18" s="9" t="s">
        <v>44</v>
      </c>
      <c r="O18" s="9" t="s">
        <v>146</v>
      </c>
      <c r="P18" s="9" t="s">
        <v>147</v>
      </c>
      <c r="Q18" s="9" t="s">
        <v>102</v>
      </c>
      <c r="R18" s="9" t="s">
        <v>6</v>
      </c>
      <c r="S18" s="9">
        <v>412.95</v>
      </c>
      <c r="T18" s="9">
        <v>5</v>
      </c>
      <c r="U18" s="9">
        <v>0</v>
      </c>
      <c r="V18" s="9">
        <v>24.75</v>
      </c>
      <c r="W18" s="9">
        <v>42.28</v>
      </c>
      <c r="X18" s="9" t="s">
        <v>128</v>
      </c>
    </row>
    <row r="19" spans="1:24" x14ac:dyDescent="0.25">
      <c r="A19" s="9">
        <v>23219</v>
      </c>
      <c r="B19" s="9" t="s">
        <v>112</v>
      </c>
      <c r="C19" s="9" t="s">
        <v>113</v>
      </c>
      <c r="D19" s="9" t="s">
        <v>114</v>
      </c>
      <c r="E19" s="9" t="s">
        <v>52</v>
      </c>
      <c r="F19" s="9" t="s">
        <v>115</v>
      </c>
      <c r="G19" s="9" t="s">
        <v>116</v>
      </c>
      <c r="H19" s="9" t="s">
        <v>55</v>
      </c>
      <c r="I19" s="9"/>
      <c r="J19" s="9" t="s">
        <v>75</v>
      </c>
      <c r="K19" s="9" t="s">
        <v>75</v>
      </c>
      <c r="L19" s="9" t="s">
        <v>42</v>
      </c>
      <c r="M19" s="9" t="s">
        <v>43</v>
      </c>
      <c r="N19" s="9" t="s">
        <v>44</v>
      </c>
      <c r="O19" s="9" t="s">
        <v>148</v>
      </c>
      <c r="P19" s="9" t="s">
        <v>149</v>
      </c>
      <c r="Q19" s="9" t="s">
        <v>143</v>
      </c>
      <c r="R19" s="9" t="s">
        <v>4</v>
      </c>
      <c r="S19" s="9">
        <v>244.8</v>
      </c>
      <c r="T19" s="9">
        <v>4</v>
      </c>
      <c r="U19" s="9">
        <v>0</v>
      </c>
      <c r="V19" s="9">
        <v>70.92</v>
      </c>
      <c r="W19" s="9">
        <v>37.479999999999997</v>
      </c>
      <c r="X19" s="9" t="s">
        <v>79</v>
      </c>
    </row>
    <row r="20" spans="1:24" x14ac:dyDescent="0.25">
      <c r="A20" s="9">
        <v>28276</v>
      </c>
      <c r="B20" s="9" t="s">
        <v>150</v>
      </c>
      <c r="C20" s="9" t="s">
        <v>151</v>
      </c>
      <c r="D20" s="9" t="s">
        <v>152</v>
      </c>
      <c r="E20" s="9" t="s">
        <v>71</v>
      </c>
      <c r="F20" s="9" t="s">
        <v>132</v>
      </c>
      <c r="G20" s="9" t="s">
        <v>133</v>
      </c>
      <c r="H20" s="9" t="s">
        <v>55</v>
      </c>
      <c r="I20" s="9"/>
      <c r="J20" s="9" t="s">
        <v>75</v>
      </c>
      <c r="K20" s="9" t="s">
        <v>75</v>
      </c>
      <c r="L20" s="9" t="s">
        <v>42</v>
      </c>
      <c r="M20" s="9" t="s">
        <v>43</v>
      </c>
      <c r="N20" s="9" t="s">
        <v>44</v>
      </c>
      <c r="O20" s="9" t="s">
        <v>153</v>
      </c>
      <c r="P20" s="9" t="s">
        <v>154</v>
      </c>
      <c r="Q20" s="9" t="s">
        <v>64</v>
      </c>
      <c r="R20" s="9" t="s">
        <v>5</v>
      </c>
      <c r="S20" s="9">
        <v>219.78</v>
      </c>
      <c r="T20" s="9">
        <v>2</v>
      </c>
      <c r="U20" s="9">
        <v>0</v>
      </c>
      <c r="V20" s="9">
        <v>59.34</v>
      </c>
      <c r="W20" s="9">
        <v>36.24</v>
      </c>
      <c r="X20" s="9" t="s">
        <v>155</v>
      </c>
    </row>
    <row r="21" spans="1:24" x14ac:dyDescent="0.25">
      <c r="A21" s="9">
        <v>29585</v>
      </c>
      <c r="B21" s="9" t="s">
        <v>156</v>
      </c>
      <c r="C21" s="9" t="s">
        <v>157</v>
      </c>
      <c r="D21" s="9" t="s">
        <v>158</v>
      </c>
      <c r="E21" s="9" t="s">
        <v>36</v>
      </c>
      <c r="F21" s="9" t="s">
        <v>159</v>
      </c>
      <c r="G21" s="9" t="s">
        <v>160</v>
      </c>
      <c r="H21" s="9" t="s">
        <v>74</v>
      </c>
      <c r="I21" s="9"/>
      <c r="J21" s="9" t="s">
        <v>75</v>
      </c>
      <c r="K21" s="9" t="s">
        <v>75</v>
      </c>
      <c r="L21" s="9" t="s">
        <v>42</v>
      </c>
      <c r="M21" s="9" t="s">
        <v>43</v>
      </c>
      <c r="N21" s="9" t="s">
        <v>44</v>
      </c>
      <c r="O21" s="9" t="s">
        <v>161</v>
      </c>
      <c r="P21" s="9" t="s">
        <v>162</v>
      </c>
      <c r="Q21" s="9" t="s">
        <v>102</v>
      </c>
      <c r="R21" s="9" t="s">
        <v>6</v>
      </c>
      <c r="S21" s="9">
        <v>848.4</v>
      </c>
      <c r="T21" s="9">
        <v>5</v>
      </c>
      <c r="U21" s="9">
        <v>0</v>
      </c>
      <c r="V21" s="9">
        <v>364.8</v>
      </c>
      <c r="W21" s="9">
        <v>33.880000000000003</v>
      </c>
      <c r="X21" s="9" t="s">
        <v>48</v>
      </c>
    </row>
    <row r="22" spans="1:24" x14ac:dyDescent="0.25">
      <c r="A22" s="9">
        <v>23951</v>
      </c>
      <c r="B22" s="9" t="s">
        <v>163</v>
      </c>
      <c r="C22" s="9" t="s">
        <v>164</v>
      </c>
      <c r="D22" s="9" t="s">
        <v>165</v>
      </c>
      <c r="E22" s="9" t="s">
        <v>71</v>
      </c>
      <c r="F22" s="9" t="s">
        <v>166</v>
      </c>
      <c r="G22" s="9" t="s">
        <v>167</v>
      </c>
      <c r="H22" s="9" t="s">
        <v>74</v>
      </c>
      <c r="I22" s="9"/>
      <c r="J22" s="9" t="s">
        <v>75</v>
      </c>
      <c r="K22" s="9" t="s">
        <v>75</v>
      </c>
      <c r="L22" s="9" t="s">
        <v>42</v>
      </c>
      <c r="M22" s="9" t="s">
        <v>43</v>
      </c>
      <c r="N22" s="9" t="s">
        <v>44</v>
      </c>
      <c r="O22" s="9" t="s">
        <v>168</v>
      </c>
      <c r="P22" s="9" t="s">
        <v>169</v>
      </c>
      <c r="Q22" s="9" t="s">
        <v>170</v>
      </c>
      <c r="R22" s="9" t="s">
        <v>4</v>
      </c>
      <c r="S22" s="9">
        <v>83.4</v>
      </c>
      <c r="T22" s="9">
        <v>4</v>
      </c>
      <c r="U22" s="9">
        <v>0</v>
      </c>
      <c r="V22" s="9">
        <v>8.2799999999999994</v>
      </c>
      <c r="W22" s="9">
        <v>21.21</v>
      </c>
      <c r="X22" s="9" t="s">
        <v>155</v>
      </c>
    </row>
    <row r="23" spans="1:24" x14ac:dyDescent="0.25">
      <c r="A23" s="9">
        <v>24829</v>
      </c>
      <c r="B23" s="9" t="s">
        <v>171</v>
      </c>
      <c r="C23" s="9" t="s">
        <v>172</v>
      </c>
      <c r="D23" s="9" t="s">
        <v>173</v>
      </c>
      <c r="E23" s="9" t="s">
        <v>36</v>
      </c>
      <c r="F23" s="9" t="s">
        <v>174</v>
      </c>
      <c r="G23" s="9" t="s">
        <v>175</v>
      </c>
      <c r="H23" s="9" t="s">
        <v>55</v>
      </c>
      <c r="I23" s="9"/>
      <c r="J23" s="9" t="s">
        <v>75</v>
      </c>
      <c r="K23" s="9" t="s">
        <v>75</v>
      </c>
      <c r="L23" s="9" t="s">
        <v>42</v>
      </c>
      <c r="M23" s="9" t="s">
        <v>43</v>
      </c>
      <c r="N23" s="9" t="s">
        <v>44</v>
      </c>
      <c r="O23" s="9" t="s">
        <v>176</v>
      </c>
      <c r="P23" s="9" t="s">
        <v>177</v>
      </c>
      <c r="Q23" s="9" t="s">
        <v>178</v>
      </c>
      <c r="R23" s="9" t="s">
        <v>6</v>
      </c>
      <c r="S23" s="9">
        <v>162.54</v>
      </c>
      <c r="T23" s="9">
        <v>2</v>
      </c>
      <c r="U23" s="9">
        <v>0</v>
      </c>
      <c r="V23" s="9">
        <v>17.82</v>
      </c>
      <c r="W23" s="9">
        <v>21.05</v>
      </c>
      <c r="X23" s="9" t="s">
        <v>79</v>
      </c>
    </row>
    <row r="24" spans="1:24" x14ac:dyDescent="0.25">
      <c r="A24" s="9">
        <v>20728</v>
      </c>
      <c r="B24" s="9" t="s">
        <v>179</v>
      </c>
      <c r="C24" s="9" t="s">
        <v>180</v>
      </c>
      <c r="D24" s="9" t="s">
        <v>181</v>
      </c>
      <c r="E24" s="9" t="s">
        <v>71</v>
      </c>
      <c r="F24" s="9" t="s">
        <v>182</v>
      </c>
      <c r="G24" s="9" t="s">
        <v>183</v>
      </c>
      <c r="H24" s="9" t="s">
        <v>55</v>
      </c>
      <c r="I24" s="9"/>
      <c r="J24" s="9" t="s">
        <v>75</v>
      </c>
      <c r="K24" s="9" t="s">
        <v>75</v>
      </c>
      <c r="L24" s="9" t="s">
        <v>42</v>
      </c>
      <c r="M24" s="9" t="s">
        <v>43</v>
      </c>
      <c r="N24" s="9" t="s">
        <v>44</v>
      </c>
      <c r="O24" s="9" t="s">
        <v>184</v>
      </c>
      <c r="P24" s="9" t="s">
        <v>185</v>
      </c>
      <c r="Q24" s="9" t="s">
        <v>186</v>
      </c>
      <c r="R24" s="9" t="s">
        <v>4</v>
      </c>
      <c r="S24" s="9">
        <v>160.19999999999999</v>
      </c>
      <c r="T24" s="9">
        <v>6</v>
      </c>
      <c r="U24" s="9">
        <v>0</v>
      </c>
      <c r="V24" s="9">
        <v>35.1</v>
      </c>
      <c r="W24" s="9">
        <v>18.2</v>
      </c>
      <c r="X24" s="9" t="s">
        <v>48</v>
      </c>
    </row>
    <row r="25" spans="1:24" x14ac:dyDescent="0.25">
      <c r="A25" s="9">
        <v>28883</v>
      </c>
      <c r="B25" s="9" t="s">
        <v>187</v>
      </c>
      <c r="C25" s="9" t="s">
        <v>188</v>
      </c>
      <c r="D25" s="9" t="s">
        <v>189</v>
      </c>
      <c r="E25" s="9" t="s">
        <v>52</v>
      </c>
      <c r="F25" s="9" t="s">
        <v>190</v>
      </c>
      <c r="G25" s="9" t="s">
        <v>191</v>
      </c>
      <c r="H25" s="9" t="s">
        <v>39</v>
      </c>
      <c r="I25" s="9"/>
      <c r="J25" s="9" t="s">
        <v>75</v>
      </c>
      <c r="K25" s="9" t="s">
        <v>75</v>
      </c>
      <c r="L25" s="9" t="s">
        <v>42</v>
      </c>
      <c r="M25" s="9" t="s">
        <v>43</v>
      </c>
      <c r="N25" s="9" t="s">
        <v>44</v>
      </c>
      <c r="O25" s="9" t="s">
        <v>192</v>
      </c>
      <c r="P25" s="9" t="s">
        <v>193</v>
      </c>
      <c r="Q25" s="9" t="s">
        <v>178</v>
      </c>
      <c r="R25" s="9" t="s">
        <v>6</v>
      </c>
      <c r="S25" s="9">
        <v>114.66</v>
      </c>
      <c r="T25" s="9">
        <v>2</v>
      </c>
      <c r="U25" s="9">
        <v>0</v>
      </c>
      <c r="V25" s="9">
        <v>4.5599999999999996</v>
      </c>
      <c r="W25" s="9">
        <v>15.62</v>
      </c>
      <c r="X25" s="9" t="s">
        <v>79</v>
      </c>
    </row>
    <row r="26" spans="1:24" x14ac:dyDescent="0.25">
      <c r="A26" s="9">
        <v>25230</v>
      </c>
      <c r="B26" s="9" t="s">
        <v>105</v>
      </c>
      <c r="C26" s="9" t="s">
        <v>106</v>
      </c>
      <c r="D26" s="9" t="s">
        <v>107</v>
      </c>
      <c r="E26" s="9" t="s">
        <v>36</v>
      </c>
      <c r="F26" s="9" t="s">
        <v>108</v>
      </c>
      <c r="G26" s="9" t="s">
        <v>109</v>
      </c>
      <c r="H26" s="9" t="s">
        <v>74</v>
      </c>
      <c r="I26" s="9"/>
      <c r="J26" s="9" t="s">
        <v>75</v>
      </c>
      <c r="K26" s="9" t="s">
        <v>75</v>
      </c>
      <c r="L26" s="9" t="s">
        <v>42</v>
      </c>
      <c r="M26" s="9" t="s">
        <v>43</v>
      </c>
      <c r="N26" s="9" t="s">
        <v>44</v>
      </c>
      <c r="O26" s="9" t="s">
        <v>148</v>
      </c>
      <c r="P26" s="9" t="s">
        <v>149</v>
      </c>
      <c r="Q26" s="9" t="s">
        <v>143</v>
      </c>
      <c r="R26" s="9" t="s">
        <v>4</v>
      </c>
      <c r="S26" s="9">
        <v>122.4</v>
      </c>
      <c r="T26" s="9">
        <v>2</v>
      </c>
      <c r="U26" s="9">
        <v>0</v>
      </c>
      <c r="V26" s="9">
        <v>35.46</v>
      </c>
      <c r="W26" s="9">
        <v>14.18</v>
      </c>
      <c r="X26" s="9" t="s">
        <v>48</v>
      </c>
    </row>
    <row r="27" spans="1:24" x14ac:dyDescent="0.25">
      <c r="A27" s="9">
        <v>23220</v>
      </c>
      <c r="B27" s="9" t="s">
        <v>112</v>
      </c>
      <c r="C27" s="9" t="s">
        <v>113</v>
      </c>
      <c r="D27" s="9" t="s">
        <v>114</v>
      </c>
      <c r="E27" s="9" t="s">
        <v>52</v>
      </c>
      <c r="F27" s="9" t="s">
        <v>115</v>
      </c>
      <c r="G27" s="9" t="s">
        <v>116</v>
      </c>
      <c r="H27" s="9" t="s">
        <v>55</v>
      </c>
      <c r="I27" s="9"/>
      <c r="J27" s="9" t="s">
        <v>75</v>
      </c>
      <c r="K27" s="9" t="s">
        <v>75</v>
      </c>
      <c r="L27" s="9" t="s">
        <v>42</v>
      </c>
      <c r="M27" s="9" t="s">
        <v>43</v>
      </c>
      <c r="N27" s="9" t="s">
        <v>44</v>
      </c>
      <c r="O27" s="9" t="s">
        <v>194</v>
      </c>
      <c r="P27" s="9" t="s">
        <v>195</v>
      </c>
      <c r="Q27" s="9" t="s">
        <v>143</v>
      </c>
      <c r="R27" s="9" t="s">
        <v>4</v>
      </c>
      <c r="S27" s="9">
        <v>61.56</v>
      </c>
      <c r="T27" s="9">
        <v>6</v>
      </c>
      <c r="U27" s="9">
        <v>0</v>
      </c>
      <c r="V27" s="9">
        <v>20.88</v>
      </c>
      <c r="W27" s="9">
        <v>12.51</v>
      </c>
      <c r="X27" s="9" t="s">
        <v>79</v>
      </c>
    </row>
    <row r="28" spans="1:24" x14ac:dyDescent="0.25">
      <c r="A28" s="9">
        <v>27433</v>
      </c>
      <c r="B28" s="9" t="s">
        <v>196</v>
      </c>
      <c r="C28" s="9" t="s">
        <v>197</v>
      </c>
      <c r="D28" s="9" t="s">
        <v>198</v>
      </c>
      <c r="E28" s="9" t="s">
        <v>36</v>
      </c>
      <c r="F28" s="9" t="s">
        <v>199</v>
      </c>
      <c r="G28" s="9" t="s">
        <v>200</v>
      </c>
      <c r="H28" s="9" t="s">
        <v>74</v>
      </c>
      <c r="I28" s="9"/>
      <c r="J28" s="9" t="s">
        <v>75</v>
      </c>
      <c r="K28" s="9" t="s">
        <v>75</v>
      </c>
      <c r="L28" s="9" t="s">
        <v>42</v>
      </c>
      <c r="M28" s="9" t="s">
        <v>43</v>
      </c>
      <c r="N28" s="9" t="s">
        <v>44</v>
      </c>
      <c r="O28" s="9" t="s">
        <v>201</v>
      </c>
      <c r="P28" s="9" t="s">
        <v>202</v>
      </c>
      <c r="Q28" s="9" t="s">
        <v>186</v>
      </c>
      <c r="R28" s="9" t="s">
        <v>4</v>
      </c>
      <c r="S28" s="9">
        <v>177.93</v>
      </c>
      <c r="T28" s="9">
        <v>9</v>
      </c>
      <c r="U28" s="9">
        <v>0</v>
      </c>
      <c r="V28" s="9">
        <v>76.41</v>
      </c>
      <c r="W28" s="9">
        <v>11</v>
      </c>
      <c r="X28" s="9" t="s">
        <v>48</v>
      </c>
    </row>
    <row r="29" spans="1:24" x14ac:dyDescent="0.25">
      <c r="A29" s="9">
        <v>25231</v>
      </c>
      <c r="B29" s="9" t="s">
        <v>105</v>
      </c>
      <c r="C29" s="9" t="s">
        <v>106</v>
      </c>
      <c r="D29" s="9" t="s">
        <v>107</v>
      </c>
      <c r="E29" s="9" t="s">
        <v>36</v>
      </c>
      <c r="F29" s="9" t="s">
        <v>108</v>
      </c>
      <c r="G29" s="9" t="s">
        <v>109</v>
      </c>
      <c r="H29" s="9" t="s">
        <v>74</v>
      </c>
      <c r="I29" s="9"/>
      <c r="J29" s="9" t="s">
        <v>75</v>
      </c>
      <c r="K29" s="9" t="s">
        <v>75</v>
      </c>
      <c r="L29" s="9" t="s">
        <v>42</v>
      </c>
      <c r="M29" s="9" t="s">
        <v>43</v>
      </c>
      <c r="N29" s="9" t="s">
        <v>44</v>
      </c>
      <c r="O29" s="9" t="s">
        <v>203</v>
      </c>
      <c r="P29" s="9" t="s">
        <v>204</v>
      </c>
      <c r="Q29" s="9" t="s">
        <v>58</v>
      </c>
      <c r="R29" s="9" t="s">
        <v>4</v>
      </c>
      <c r="S29" s="9">
        <v>151.19999999999999</v>
      </c>
      <c r="T29" s="9">
        <v>4</v>
      </c>
      <c r="U29" s="9">
        <v>0</v>
      </c>
      <c r="V29" s="9">
        <v>46.8</v>
      </c>
      <c r="W29" s="9">
        <v>10.35</v>
      </c>
      <c r="X29" s="9" t="s">
        <v>48</v>
      </c>
    </row>
    <row r="30" spans="1:24" x14ac:dyDescent="0.25">
      <c r="A30" s="9">
        <v>20529</v>
      </c>
      <c r="B30" s="9" t="s">
        <v>205</v>
      </c>
      <c r="C30" s="9" t="s">
        <v>206</v>
      </c>
      <c r="D30" s="9" t="s">
        <v>207</v>
      </c>
      <c r="E30" s="9" t="s">
        <v>36</v>
      </c>
      <c r="F30" s="9" t="s">
        <v>208</v>
      </c>
      <c r="G30" s="9" t="s">
        <v>209</v>
      </c>
      <c r="H30" s="9" t="s">
        <v>55</v>
      </c>
      <c r="I30" s="9"/>
      <c r="J30" s="9" t="s">
        <v>75</v>
      </c>
      <c r="K30" s="9" t="s">
        <v>75</v>
      </c>
      <c r="L30" s="9" t="s">
        <v>42</v>
      </c>
      <c r="M30" s="9" t="s">
        <v>43</v>
      </c>
      <c r="N30" s="9" t="s">
        <v>44</v>
      </c>
      <c r="O30" s="9" t="s">
        <v>210</v>
      </c>
      <c r="P30" s="9" t="s">
        <v>211</v>
      </c>
      <c r="Q30" s="9" t="s">
        <v>178</v>
      </c>
      <c r="R30" s="9" t="s">
        <v>6</v>
      </c>
      <c r="S30" s="9">
        <v>155.88</v>
      </c>
      <c r="T30" s="9">
        <v>6</v>
      </c>
      <c r="U30" s="9">
        <v>0</v>
      </c>
      <c r="V30" s="9">
        <v>21.78</v>
      </c>
      <c r="W30" s="9">
        <v>10.199999999999999</v>
      </c>
      <c r="X30" s="9" t="s">
        <v>48</v>
      </c>
    </row>
    <row r="31" spans="1:24" x14ac:dyDescent="0.25">
      <c r="A31" s="9">
        <v>22319</v>
      </c>
      <c r="B31" s="9" t="s">
        <v>212</v>
      </c>
      <c r="C31" s="9" t="s">
        <v>213</v>
      </c>
      <c r="D31" s="9" t="s">
        <v>214</v>
      </c>
      <c r="E31" s="9" t="s">
        <v>36</v>
      </c>
      <c r="F31" s="9" t="s">
        <v>215</v>
      </c>
      <c r="G31" s="9" t="s">
        <v>216</v>
      </c>
      <c r="H31" s="9" t="s">
        <v>39</v>
      </c>
      <c r="I31" s="9"/>
      <c r="J31" s="9" t="s">
        <v>75</v>
      </c>
      <c r="K31" s="9" t="s">
        <v>75</v>
      </c>
      <c r="L31" s="9" t="s">
        <v>42</v>
      </c>
      <c r="M31" s="9" t="s">
        <v>43</v>
      </c>
      <c r="N31" s="9" t="s">
        <v>44</v>
      </c>
      <c r="O31" s="9" t="s">
        <v>217</v>
      </c>
      <c r="P31" s="9" t="s">
        <v>218</v>
      </c>
      <c r="Q31" s="9" t="s">
        <v>170</v>
      </c>
      <c r="R31" s="9" t="s">
        <v>4</v>
      </c>
      <c r="S31" s="9">
        <v>88.35</v>
      </c>
      <c r="T31" s="9">
        <v>5</v>
      </c>
      <c r="U31" s="9">
        <v>0</v>
      </c>
      <c r="V31" s="9">
        <v>2.5499999999999998</v>
      </c>
      <c r="W31" s="9">
        <v>9.67</v>
      </c>
      <c r="X31" s="9" t="s">
        <v>128</v>
      </c>
    </row>
    <row r="32" spans="1:24" x14ac:dyDescent="0.25">
      <c r="A32" s="9">
        <v>29583</v>
      </c>
      <c r="B32" s="9" t="s">
        <v>156</v>
      </c>
      <c r="C32" s="9" t="s">
        <v>157</v>
      </c>
      <c r="D32" s="9" t="s">
        <v>158</v>
      </c>
      <c r="E32" s="9" t="s">
        <v>36</v>
      </c>
      <c r="F32" s="9" t="s">
        <v>159</v>
      </c>
      <c r="G32" s="9" t="s">
        <v>160</v>
      </c>
      <c r="H32" s="9" t="s">
        <v>74</v>
      </c>
      <c r="I32" s="9"/>
      <c r="J32" s="9" t="s">
        <v>75</v>
      </c>
      <c r="K32" s="9" t="s">
        <v>75</v>
      </c>
      <c r="L32" s="9" t="s">
        <v>42</v>
      </c>
      <c r="M32" s="9" t="s">
        <v>43</v>
      </c>
      <c r="N32" s="9" t="s">
        <v>44</v>
      </c>
      <c r="O32" s="9" t="s">
        <v>219</v>
      </c>
      <c r="P32" s="9" t="s">
        <v>220</v>
      </c>
      <c r="Q32" s="9" t="s">
        <v>221</v>
      </c>
      <c r="R32" s="9" t="s">
        <v>4</v>
      </c>
      <c r="S32" s="9">
        <v>251.7</v>
      </c>
      <c r="T32" s="9">
        <v>5</v>
      </c>
      <c r="U32" s="9">
        <v>0</v>
      </c>
      <c r="V32" s="9">
        <v>52.8</v>
      </c>
      <c r="W32" s="9">
        <v>9.56</v>
      </c>
      <c r="X32" s="9" t="s">
        <v>48</v>
      </c>
    </row>
    <row r="33" spans="1:24" x14ac:dyDescent="0.25">
      <c r="A33" s="9">
        <v>23218</v>
      </c>
      <c r="B33" s="9" t="s">
        <v>112</v>
      </c>
      <c r="C33" s="9" t="s">
        <v>113</v>
      </c>
      <c r="D33" s="9" t="s">
        <v>114</v>
      </c>
      <c r="E33" s="9" t="s">
        <v>52</v>
      </c>
      <c r="F33" s="9" t="s">
        <v>115</v>
      </c>
      <c r="G33" s="9" t="s">
        <v>116</v>
      </c>
      <c r="H33" s="9" t="s">
        <v>55</v>
      </c>
      <c r="I33" s="9"/>
      <c r="J33" s="9" t="s">
        <v>75</v>
      </c>
      <c r="K33" s="9" t="s">
        <v>75</v>
      </c>
      <c r="L33" s="9" t="s">
        <v>42</v>
      </c>
      <c r="M33" s="9" t="s">
        <v>43</v>
      </c>
      <c r="N33" s="9" t="s">
        <v>44</v>
      </c>
      <c r="O33" s="9" t="s">
        <v>62</v>
      </c>
      <c r="P33" s="9" t="s">
        <v>63</v>
      </c>
      <c r="Q33" s="9" t="s">
        <v>64</v>
      </c>
      <c r="R33" s="9" t="s">
        <v>5</v>
      </c>
      <c r="S33" s="9">
        <v>84.84</v>
      </c>
      <c r="T33" s="9">
        <v>2</v>
      </c>
      <c r="U33" s="9">
        <v>0</v>
      </c>
      <c r="V33" s="9">
        <v>39.840000000000003</v>
      </c>
      <c r="W33" s="9">
        <v>8.73</v>
      </c>
      <c r="X33" s="9" t="s">
        <v>79</v>
      </c>
    </row>
    <row r="34" spans="1:24" x14ac:dyDescent="0.25">
      <c r="A34" s="9">
        <v>29095</v>
      </c>
      <c r="B34" s="9" t="s">
        <v>120</v>
      </c>
      <c r="C34" s="9" t="s">
        <v>121</v>
      </c>
      <c r="D34" s="9" t="s">
        <v>122</v>
      </c>
      <c r="E34" s="9" t="s">
        <v>36</v>
      </c>
      <c r="F34" s="9" t="s">
        <v>123</v>
      </c>
      <c r="G34" s="9" t="s">
        <v>124</v>
      </c>
      <c r="H34" s="9" t="s">
        <v>55</v>
      </c>
      <c r="I34" s="9"/>
      <c r="J34" s="9" t="s">
        <v>75</v>
      </c>
      <c r="K34" s="9" t="s">
        <v>75</v>
      </c>
      <c r="L34" s="9" t="s">
        <v>42</v>
      </c>
      <c r="M34" s="9" t="s">
        <v>43</v>
      </c>
      <c r="N34" s="9" t="s">
        <v>44</v>
      </c>
      <c r="O34" s="9" t="s">
        <v>222</v>
      </c>
      <c r="P34" s="9" t="s">
        <v>223</v>
      </c>
      <c r="Q34" s="9" t="s">
        <v>58</v>
      </c>
      <c r="R34" s="9" t="s">
        <v>4</v>
      </c>
      <c r="S34" s="9">
        <v>69</v>
      </c>
      <c r="T34" s="9">
        <v>2</v>
      </c>
      <c r="U34" s="9">
        <v>0</v>
      </c>
      <c r="V34" s="9">
        <v>19.32</v>
      </c>
      <c r="W34" s="9">
        <v>6.94</v>
      </c>
      <c r="X34" s="9" t="s">
        <v>128</v>
      </c>
    </row>
    <row r="35" spans="1:24" x14ac:dyDescent="0.25">
      <c r="A35" s="9">
        <v>29584</v>
      </c>
      <c r="B35" s="9" t="s">
        <v>156</v>
      </c>
      <c r="C35" s="9" t="s">
        <v>157</v>
      </c>
      <c r="D35" s="9" t="s">
        <v>158</v>
      </c>
      <c r="E35" s="9" t="s">
        <v>36</v>
      </c>
      <c r="F35" s="9" t="s">
        <v>159</v>
      </c>
      <c r="G35" s="9" t="s">
        <v>160</v>
      </c>
      <c r="H35" s="9" t="s">
        <v>74</v>
      </c>
      <c r="I35" s="9"/>
      <c r="J35" s="9" t="s">
        <v>75</v>
      </c>
      <c r="K35" s="9" t="s">
        <v>75</v>
      </c>
      <c r="L35" s="9" t="s">
        <v>42</v>
      </c>
      <c r="M35" s="9" t="s">
        <v>43</v>
      </c>
      <c r="N35" s="9" t="s">
        <v>44</v>
      </c>
      <c r="O35" s="9" t="s">
        <v>224</v>
      </c>
      <c r="P35" s="9" t="s">
        <v>225</v>
      </c>
      <c r="Q35" s="9" t="s">
        <v>221</v>
      </c>
      <c r="R35" s="9" t="s">
        <v>4</v>
      </c>
      <c r="S35" s="9">
        <v>78.66</v>
      </c>
      <c r="T35" s="9">
        <v>6</v>
      </c>
      <c r="U35" s="9">
        <v>0</v>
      </c>
      <c r="V35" s="9">
        <v>15.66</v>
      </c>
      <c r="W35" s="9">
        <v>6.58</v>
      </c>
      <c r="X35" s="9" t="s">
        <v>48</v>
      </c>
    </row>
    <row r="36" spans="1:24" x14ac:dyDescent="0.25">
      <c r="A36" s="9">
        <v>24294</v>
      </c>
      <c r="B36" s="9" t="s">
        <v>226</v>
      </c>
      <c r="C36" s="9" t="s">
        <v>227</v>
      </c>
      <c r="D36" s="9" t="s">
        <v>228</v>
      </c>
      <c r="E36" s="9" t="s">
        <v>36</v>
      </c>
      <c r="F36" s="9" t="s">
        <v>229</v>
      </c>
      <c r="G36" s="9" t="s">
        <v>230</v>
      </c>
      <c r="H36" s="9" t="s">
        <v>74</v>
      </c>
      <c r="I36" s="9"/>
      <c r="J36" s="9" t="s">
        <v>75</v>
      </c>
      <c r="K36" s="9" t="s">
        <v>75</v>
      </c>
      <c r="L36" s="9" t="s">
        <v>42</v>
      </c>
      <c r="M36" s="9" t="s">
        <v>43</v>
      </c>
      <c r="N36" s="9" t="s">
        <v>44</v>
      </c>
      <c r="O36" s="9" t="s">
        <v>231</v>
      </c>
      <c r="P36" s="9" t="s">
        <v>232</v>
      </c>
      <c r="Q36" s="9" t="s">
        <v>221</v>
      </c>
      <c r="R36" s="9" t="s">
        <v>4</v>
      </c>
      <c r="S36" s="9">
        <v>55.98</v>
      </c>
      <c r="T36" s="9">
        <v>2</v>
      </c>
      <c r="U36" s="9">
        <v>0</v>
      </c>
      <c r="V36" s="9">
        <v>7.8</v>
      </c>
      <c r="W36" s="9">
        <v>5.1100000000000003</v>
      </c>
      <c r="X36" s="9" t="s">
        <v>48</v>
      </c>
    </row>
    <row r="37" spans="1:24" x14ac:dyDescent="0.25">
      <c r="A37" s="9">
        <v>27311</v>
      </c>
      <c r="B37" s="9" t="s">
        <v>233</v>
      </c>
      <c r="C37" s="9" t="s">
        <v>234</v>
      </c>
      <c r="D37" s="9" t="s">
        <v>235</v>
      </c>
      <c r="E37" s="9" t="s">
        <v>36</v>
      </c>
      <c r="F37" s="9" t="s">
        <v>236</v>
      </c>
      <c r="G37" s="9" t="s">
        <v>237</v>
      </c>
      <c r="H37" s="9" t="s">
        <v>74</v>
      </c>
      <c r="I37" s="9"/>
      <c r="J37" s="9" t="s">
        <v>75</v>
      </c>
      <c r="K37" s="9" t="s">
        <v>75</v>
      </c>
      <c r="L37" s="9" t="s">
        <v>42</v>
      </c>
      <c r="M37" s="9" t="s">
        <v>43</v>
      </c>
      <c r="N37" s="9" t="s">
        <v>44</v>
      </c>
      <c r="O37" s="9" t="s">
        <v>238</v>
      </c>
      <c r="P37" s="9" t="s">
        <v>239</v>
      </c>
      <c r="Q37" s="9" t="s">
        <v>67</v>
      </c>
      <c r="R37" s="9" t="s">
        <v>4</v>
      </c>
      <c r="S37" s="9">
        <v>79.47</v>
      </c>
      <c r="T37" s="9">
        <v>3</v>
      </c>
      <c r="U37" s="9">
        <v>0</v>
      </c>
      <c r="V37" s="9">
        <v>9.4499999999999993</v>
      </c>
      <c r="W37" s="9">
        <v>4.9400000000000004</v>
      </c>
      <c r="X37" s="9" t="s">
        <v>48</v>
      </c>
    </row>
    <row r="38" spans="1:24" x14ac:dyDescent="0.25">
      <c r="A38" s="9">
        <v>27310</v>
      </c>
      <c r="B38" s="9" t="s">
        <v>233</v>
      </c>
      <c r="C38" s="9" t="s">
        <v>234</v>
      </c>
      <c r="D38" s="9" t="s">
        <v>235</v>
      </c>
      <c r="E38" s="9" t="s">
        <v>36</v>
      </c>
      <c r="F38" s="9" t="s">
        <v>236</v>
      </c>
      <c r="G38" s="9" t="s">
        <v>237</v>
      </c>
      <c r="H38" s="9" t="s">
        <v>74</v>
      </c>
      <c r="I38" s="9"/>
      <c r="J38" s="9" t="s">
        <v>75</v>
      </c>
      <c r="K38" s="9" t="s">
        <v>75</v>
      </c>
      <c r="L38" s="9" t="s">
        <v>42</v>
      </c>
      <c r="M38" s="9" t="s">
        <v>43</v>
      </c>
      <c r="N38" s="9" t="s">
        <v>44</v>
      </c>
      <c r="O38" s="9" t="s">
        <v>240</v>
      </c>
      <c r="P38" s="9" t="s">
        <v>241</v>
      </c>
      <c r="Q38" s="9" t="s">
        <v>242</v>
      </c>
      <c r="R38" s="9" t="s">
        <v>4</v>
      </c>
      <c r="S38" s="9">
        <v>64.5</v>
      </c>
      <c r="T38" s="9">
        <v>5</v>
      </c>
      <c r="U38" s="9">
        <v>0</v>
      </c>
      <c r="V38" s="9">
        <v>22.5</v>
      </c>
      <c r="W38" s="9">
        <v>4.51</v>
      </c>
      <c r="X38" s="9" t="s">
        <v>48</v>
      </c>
    </row>
    <row r="39" spans="1:24" x14ac:dyDescent="0.25">
      <c r="A39" s="9">
        <v>29586</v>
      </c>
      <c r="B39" s="9" t="s">
        <v>156</v>
      </c>
      <c r="C39" s="9" t="s">
        <v>157</v>
      </c>
      <c r="D39" s="9" t="s">
        <v>158</v>
      </c>
      <c r="E39" s="9" t="s">
        <v>36</v>
      </c>
      <c r="F39" s="9" t="s">
        <v>159</v>
      </c>
      <c r="G39" s="9" t="s">
        <v>160</v>
      </c>
      <c r="H39" s="9" t="s">
        <v>74</v>
      </c>
      <c r="I39" s="9"/>
      <c r="J39" s="9" t="s">
        <v>75</v>
      </c>
      <c r="K39" s="9" t="s">
        <v>75</v>
      </c>
      <c r="L39" s="9" t="s">
        <v>42</v>
      </c>
      <c r="M39" s="9" t="s">
        <v>43</v>
      </c>
      <c r="N39" s="9" t="s">
        <v>44</v>
      </c>
      <c r="O39" s="9" t="s">
        <v>243</v>
      </c>
      <c r="P39" s="9" t="s">
        <v>244</v>
      </c>
      <c r="Q39" s="9" t="s">
        <v>221</v>
      </c>
      <c r="R39" s="9" t="s">
        <v>4</v>
      </c>
      <c r="S39" s="9">
        <v>37.71</v>
      </c>
      <c r="T39" s="9">
        <v>3</v>
      </c>
      <c r="U39" s="9">
        <v>0</v>
      </c>
      <c r="V39" s="9">
        <v>0.72</v>
      </c>
      <c r="W39" s="9">
        <v>4.22</v>
      </c>
      <c r="X39" s="9" t="s">
        <v>48</v>
      </c>
    </row>
    <row r="40" spans="1:24" x14ac:dyDescent="0.25">
      <c r="A40" s="9">
        <v>28968</v>
      </c>
      <c r="B40" s="9" t="s">
        <v>87</v>
      </c>
      <c r="C40" s="9" t="s">
        <v>88</v>
      </c>
      <c r="D40" s="9" t="s">
        <v>89</v>
      </c>
      <c r="E40" s="9" t="s">
        <v>36</v>
      </c>
      <c r="F40" s="9" t="s">
        <v>90</v>
      </c>
      <c r="G40" s="9" t="s">
        <v>91</v>
      </c>
      <c r="H40" s="9" t="s">
        <v>74</v>
      </c>
      <c r="I40" s="9"/>
      <c r="J40" s="9" t="s">
        <v>75</v>
      </c>
      <c r="K40" s="9" t="s">
        <v>75</v>
      </c>
      <c r="L40" s="9" t="s">
        <v>42</v>
      </c>
      <c r="M40" s="9" t="s">
        <v>43</v>
      </c>
      <c r="N40" s="9" t="s">
        <v>44</v>
      </c>
      <c r="O40" s="9" t="s">
        <v>245</v>
      </c>
      <c r="P40" s="9" t="s">
        <v>246</v>
      </c>
      <c r="Q40" s="9" t="s">
        <v>186</v>
      </c>
      <c r="R40" s="9" t="s">
        <v>4</v>
      </c>
      <c r="S40" s="9">
        <v>29.85</v>
      </c>
      <c r="T40" s="9">
        <v>1</v>
      </c>
      <c r="U40" s="9">
        <v>0</v>
      </c>
      <c r="V40" s="9">
        <v>8.0399999999999991</v>
      </c>
      <c r="W40" s="9">
        <v>3.23</v>
      </c>
      <c r="X40" s="9" t="s">
        <v>79</v>
      </c>
    </row>
    <row r="41" spans="1:24" x14ac:dyDescent="0.25">
      <c r="A41" s="9">
        <v>29494</v>
      </c>
      <c r="B41" s="9" t="s">
        <v>95</v>
      </c>
      <c r="C41" s="9" t="s">
        <v>96</v>
      </c>
      <c r="D41" s="9" t="s">
        <v>97</v>
      </c>
      <c r="E41" s="9" t="s">
        <v>36</v>
      </c>
      <c r="F41" s="9" t="s">
        <v>98</v>
      </c>
      <c r="G41" s="9" t="s">
        <v>99</v>
      </c>
      <c r="H41" s="9" t="s">
        <v>74</v>
      </c>
      <c r="I41" s="9"/>
      <c r="J41" s="9" t="s">
        <v>75</v>
      </c>
      <c r="K41" s="9" t="s">
        <v>75</v>
      </c>
      <c r="L41" s="9" t="s">
        <v>42</v>
      </c>
      <c r="M41" s="9" t="s">
        <v>43</v>
      </c>
      <c r="N41" s="9" t="s">
        <v>44</v>
      </c>
      <c r="O41" s="9" t="s">
        <v>247</v>
      </c>
      <c r="P41" s="9" t="s">
        <v>248</v>
      </c>
      <c r="Q41" s="9" t="s">
        <v>221</v>
      </c>
      <c r="R41" s="9" t="s">
        <v>4</v>
      </c>
      <c r="S41" s="9">
        <v>33.57</v>
      </c>
      <c r="T41" s="9">
        <v>3</v>
      </c>
      <c r="U41" s="9">
        <v>0</v>
      </c>
      <c r="V41" s="9">
        <v>13.41</v>
      </c>
      <c r="W41" s="9">
        <v>3.15</v>
      </c>
      <c r="X41" s="9" t="s">
        <v>48</v>
      </c>
    </row>
    <row r="42" spans="1:24" x14ac:dyDescent="0.25">
      <c r="A42" s="9">
        <v>29493</v>
      </c>
      <c r="B42" s="9" t="s">
        <v>95</v>
      </c>
      <c r="C42" s="9" t="s">
        <v>96</v>
      </c>
      <c r="D42" s="9" t="s">
        <v>97</v>
      </c>
      <c r="E42" s="9" t="s">
        <v>36</v>
      </c>
      <c r="F42" s="9" t="s">
        <v>98</v>
      </c>
      <c r="G42" s="9" t="s">
        <v>99</v>
      </c>
      <c r="H42" s="9" t="s">
        <v>74</v>
      </c>
      <c r="I42" s="9"/>
      <c r="J42" s="9" t="s">
        <v>75</v>
      </c>
      <c r="K42" s="9" t="s">
        <v>75</v>
      </c>
      <c r="L42" s="9" t="s">
        <v>42</v>
      </c>
      <c r="M42" s="9" t="s">
        <v>43</v>
      </c>
      <c r="N42" s="9" t="s">
        <v>44</v>
      </c>
      <c r="O42" s="9" t="s">
        <v>249</v>
      </c>
      <c r="P42" s="9" t="s">
        <v>250</v>
      </c>
      <c r="Q42" s="9" t="s">
        <v>64</v>
      </c>
      <c r="R42" s="9" t="s">
        <v>5</v>
      </c>
      <c r="S42" s="9">
        <v>94.68</v>
      </c>
      <c r="T42" s="9">
        <v>2</v>
      </c>
      <c r="U42" s="9">
        <v>0</v>
      </c>
      <c r="V42" s="9">
        <v>1.86</v>
      </c>
      <c r="W42" s="9">
        <v>3.05</v>
      </c>
      <c r="X42" s="9" t="s">
        <v>48</v>
      </c>
    </row>
    <row r="43" spans="1:24" x14ac:dyDescent="0.25">
      <c r="A43" s="9">
        <v>25233</v>
      </c>
      <c r="B43" s="9" t="s">
        <v>105</v>
      </c>
      <c r="C43" s="9" t="s">
        <v>106</v>
      </c>
      <c r="D43" s="9" t="s">
        <v>107</v>
      </c>
      <c r="E43" s="9" t="s">
        <v>36</v>
      </c>
      <c r="F43" s="9" t="s">
        <v>108</v>
      </c>
      <c r="G43" s="9" t="s">
        <v>109</v>
      </c>
      <c r="H43" s="9" t="s">
        <v>74</v>
      </c>
      <c r="I43" s="9"/>
      <c r="J43" s="9" t="s">
        <v>75</v>
      </c>
      <c r="K43" s="9" t="s">
        <v>75</v>
      </c>
      <c r="L43" s="9" t="s">
        <v>42</v>
      </c>
      <c r="M43" s="9" t="s">
        <v>43</v>
      </c>
      <c r="N43" s="9" t="s">
        <v>44</v>
      </c>
      <c r="O43" s="9" t="s">
        <v>251</v>
      </c>
      <c r="P43" s="9" t="s">
        <v>252</v>
      </c>
      <c r="Q43" s="9" t="s">
        <v>64</v>
      </c>
      <c r="R43" s="9" t="s">
        <v>5</v>
      </c>
      <c r="S43" s="9">
        <v>110.1</v>
      </c>
      <c r="T43" s="9">
        <v>1</v>
      </c>
      <c r="U43" s="9">
        <v>0</v>
      </c>
      <c r="V43" s="9">
        <v>1.08</v>
      </c>
      <c r="W43" s="9">
        <v>2.81</v>
      </c>
      <c r="X43" s="9" t="s">
        <v>48</v>
      </c>
    </row>
    <row r="44" spans="1:24" x14ac:dyDescent="0.25">
      <c r="A44" s="9">
        <v>27992</v>
      </c>
      <c r="B44" s="9" t="s">
        <v>80</v>
      </c>
      <c r="C44" s="9" t="s">
        <v>81</v>
      </c>
      <c r="D44" s="9" t="s">
        <v>82</v>
      </c>
      <c r="E44" s="9" t="s">
        <v>36</v>
      </c>
      <c r="F44" s="9" t="s">
        <v>83</v>
      </c>
      <c r="G44" s="9" t="s">
        <v>84</v>
      </c>
      <c r="H44" s="9" t="s">
        <v>39</v>
      </c>
      <c r="I44" s="9"/>
      <c r="J44" s="9" t="s">
        <v>75</v>
      </c>
      <c r="K44" s="9" t="s">
        <v>75</v>
      </c>
      <c r="L44" s="9" t="s">
        <v>42</v>
      </c>
      <c r="M44" s="9" t="s">
        <v>43</v>
      </c>
      <c r="N44" s="9" t="s">
        <v>44</v>
      </c>
      <c r="O44" s="9" t="s">
        <v>253</v>
      </c>
      <c r="P44" s="9" t="s">
        <v>254</v>
      </c>
      <c r="Q44" s="9" t="s">
        <v>255</v>
      </c>
      <c r="R44" s="9" t="s">
        <v>4</v>
      </c>
      <c r="S44" s="9">
        <v>45.36</v>
      </c>
      <c r="T44" s="9">
        <v>4</v>
      </c>
      <c r="U44" s="9">
        <v>0</v>
      </c>
      <c r="V44" s="9">
        <v>2.16</v>
      </c>
      <c r="W44" s="9">
        <v>2.8</v>
      </c>
      <c r="X44" s="9" t="s">
        <v>48</v>
      </c>
    </row>
    <row r="45" spans="1:24" x14ac:dyDescent="0.25">
      <c r="A45" s="9">
        <v>29077</v>
      </c>
      <c r="B45" s="9" t="s">
        <v>120</v>
      </c>
      <c r="C45" s="9" t="s">
        <v>121</v>
      </c>
      <c r="D45" s="9" t="s">
        <v>122</v>
      </c>
      <c r="E45" s="9" t="s">
        <v>36</v>
      </c>
      <c r="F45" s="9" t="s">
        <v>123</v>
      </c>
      <c r="G45" s="9" t="s">
        <v>124</v>
      </c>
      <c r="H45" s="9" t="s">
        <v>55</v>
      </c>
      <c r="I45" s="9"/>
      <c r="J45" s="9" t="s">
        <v>75</v>
      </c>
      <c r="K45" s="9" t="s">
        <v>75</v>
      </c>
      <c r="L45" s="9" t="s">
        <v>42</v>
      </c>
      <c r="M45" s="9" t="s">
        <v>43</v>
      </c>
      <c r="N45" s="9" t="s">
        <v>44</v>
      </c>
      <c r="O45" s="9" t="s">
        <v>256</v>
      </c>
      <c r="P45" s="9" t="s">
        <v>257</v>
      </c>
      <c r="Q45" s="9" t="s">
        <v>242</v>
      </c>
      <c r="R45" s="9" t="s">
        <v>4</v>
      </c>
      <c r="S45" s="9">
        <v>41.16</v>
      </c>
      <c r="T45" s="9">
        <v>4</v>
      </c>
      <c r="U45" s="9">
        <v>0</v>
      </c>
      <c r="V45" s="9">
        <v>17.64</v>
      </c>
      <c r="W45" s="9">
        <v>2.67</v>
      </c>
      <c r="X45" s="9" t="s">
        <v>128</v>
      </c>
    </row>
    <row r="46" spans="1:24" x14ac:dyDescent="0.25">
      <c r="A46" s="9">
        <v>23221</v>
      </c>
      <c r="B46" s="9" t="s">
        <v>112</v>
      </c>
      <c r="C46" s="9" t="s">
        <v>113</v>
      </c>
      <c r="D46" s="9" t="s">
        <v>114</v>
      </c>
      <c r="E46" s="9" t="s">
        <v>52</v>
      </c>
      <c r="F46" s="9" t="s">
        <v>115</v>
      </c>
      <c r="G46" s="9" t="s">
        <v>116</v>
      </c>
      <c r="H46" s="9" t="s">
        <v>55</v>
      </c>
      <c r="I46" s="9"/>
      <c r="J46" s="9" t="s">
        <v>75</v>
      </c>
      <c r="K46" s="9" t="s">
        <v>75</v>
      </c>
      <c r="L46" s="9" t="s">
        <v>42</v>
      </c>
      <c r="M46" s="9" t="s">
        <v>43</v>
      </c>
      <c r="N46" s="9" t="s">
        <v>44</v>
      </c>
      <c r="O46" s="9" t="s">
        <v>258</v>
      </c>
      <c r="P46" s="9" t="s">
        <v>259</v>
      </c>
      <c r="Q46" s="9" t="s">
        <v>170</v>
      </c>
      <c r="R46" s="9" t="s">
        <v>4</v>
      </c>
      <c r="S46" s="9">
        <v>15.15</v>
      </c>
      <c r="T46" s="9">
        <v>1</v>
      </c>
      <c r="U46" s="9">
        <v>0</v>
      </c>
      <c r="V46" s="9">
        <v>4.68</v>
      </c>
      <c r="W46" s="9">
        <v>2.54</v>
      </c>
      <c r="X46" s="9" t="s">
        <v>79</v>
      </c>
    </row>
    <row r="47" spans="1:24" ht="17.25" customHeight="1" x14ac:dyDescent="0.25">
      <c r="A47" s="9">
        <v>28882</v>
      </c>
      <c r="B47" s="9" t="s">
        <v>187</v>
      </c>
      <c r="C47" s="9" t="s">
        <v>188</v>
      </c>
      <c r="D47" s="9" t="s">
        <v>189</v>
      </c>
      <c r="E47" s="9" t="s">
        <v>52</v>
      </c>
      <c r="F47" s="9" t="s">
        <v>190</v>
      </c>
      <c r="G47" s="9" t="s">
        <v>191</v>
      </c>
      <c r="H47" s="9" t="s">
        <v>39</v>
      </c>
      <c r="I47" s="9"/>
      <c r="J47" s="9" t="s">
        <v>75</v>
      </c>
      <c r="K47" s="9" t="s">
        <v>75</v>
      </c>
      <c r="L47" s="9" t="s">
        <v>42</v>
      </c>
      <c r="M47" s="9" t="s">
        <v>43</v>
      </c>
      <c r="N47" s="9" t="s">
        <v>44</v>
      </c>
      <c r="O47" s="9" t="s">
        <v>260</v>
      </c>
      <c r="P47" s="9" t="s">
        <v>261</v>
      </c>
      <c r="Q47" s="9" t="s">
        <v>255</v>
      </c>
      <c r="R47" s="9" t="s">
        <v>4</v>
      </c>
      <c r="S47" s="9">
        <v>13.86</v>
      </c>
      <c r="T47" s="9">
        <v>1</v>
      </c>
      <c r="U47" s="9">
        <v>0</v>
      </c>
      <c r="V47" s="9">
        <v>2.34</v>
      </c>
      <c r="W47" s="9">
        <v>1.61</v>
      </c>
      <c r="X47" s="9" t="s">
        <v>79</v>
      </c>
    </row>
    <row r="52" spans="1:3" ht="16.5" x14ac:dyDescent="0.25">
      <c r="A52" s="12" t="s">
        <v>262</v>
      </c>
      <c r="B52" s="11"/>
    </row>
    <row r="53" spans="1:3" ht="16.5" x14ac:dyDescent="0.25">
      <c r="A53" s="13" t="s">
        <v>2</v>
      </c>
      <c r="B53" s="14" t="s">
        <v>263</v>
      </c>
    </row>
    <row r="54" spans="1:3" ht="16.5" x14ac:dyDescent="0.3">
      <c r="A54" s="15" t="s">
        <v>5</v>
      </c>
      <c r="B54" s="16">
        <f>COUNTIF(R$2:R$47, "Furniture")</f>
        <v>12</v>
      </c>
    </row>
    <row r="55" spans="1:3" ht="16.5" x14ac:dyDescent="0.3">
      <c r="A55" s="15" t="s">
        <v>4</v>
      </c>
      <c r="B55" s="16">
        <f>COUNTIF(R$2:R$47, "Office Supplies")</f>
        <v>25</v>
      </c>
    </row>
    <row r="56" spans="1:3" ht="16.5" x14ac:dyDescent="0.3">
      <c r="A56" s="15" t="s">
        <v>6</v>
      </c>
      <c r="B56" s="16">
        <f>COUNTIF(R$2:R$47, "Technology")</f>
        <v>9</v>
      </c>
    </row>
    <row r="57" spans="1:3" ht="17.25" thickBot="1" x14ac:dyDescent="0.35">
      <c r="A57" s="17" t="s">
        <v>264</v>
      </c>
      <c r="B57" s="18">
        <f>COUNTA(R$2:R$47)</f>
        <v>46</v>
      </c>
    </row>
    <row r="58" spans="1:3" ht="15.75" thickTop="1" x14ac:dyDescent="0.25"/>
    <row r="59" spans="1:3" ht="16.5" x14ac:dyDescent="0.25">
      <c r="A59" s="19" t="s">
        <v>265</v>
      </c>
      <c r="B59" s="11"/>
      <c r="C59" s="11"/>
    </row>
    <row r="60" spans="1:3" ht="16.5" x14ac:dyDescent="0.3">
      <c r="A60" s="20" t="s">
        <v>266</v>
      </c>
      <c r="B60" s="23" t="str">
        <f>INDEX(A54:A56, MATCH(MAX(B54:B56), B54:B56, 0))</f>
        <v>Office Supplies</v>
      </c>
    </row>
    <row r="61" spans="1:3" ht="16.5" x14ac:dyDescent="0.3">
      <c r="A61" s="20" t="s">
        <v>267</v>
      </c>
      <c r="B61" s="24">
        <f>MAX(B54:B56)</f>
        <v>25</v>
      </c>
    </row>
  </sheetData>
  <mergeCells count="2">
    <mergeCell ref="A52:B52"/>
    <mergeCell ref="A59:C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14400F</cp:lastModifiedBy>
  <dcterms:created xsi:type="dcterms:W3CDTF">2026-09-22T12:41:33Z</dcterms:created>
  <dcterms:modified xsi:type="dcterms:W3CDTF">2026-09-22T14:16:11Z</dcterms:modified>
</cp:coreProperties>
</file>